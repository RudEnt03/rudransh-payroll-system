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Test\"/>
    </mc:Choice>
  </mc:AlternateContent>
  <xr:revisionPtr revIDLastSave="0" documentId="13_ncr:1_{018A3E9B-69D6-4BD7-9332-E65E72AFC311}" xr6:coauthVersionLast="47" xr6:coauthVersionMax="47" xr10:uidLastSave="{00000000-0000-0000-0000-000000000000}"/>
  <bookViews>
    <workbookView xWindow="-120" yWindow="-120" windowWidth="20730" windowHeight="11760" xr2:uid="{C95B9465-CBED-43A1-BBB3-863370BE2E32}"/>
  </bookViews>
  <sheets>
    <sheet name="Herbalife-MUF-Punjab" sheetId="1" r:id="rId1"/>
  </sheets>
  <definedNames>
    <definedName name="_xlnm._FilterDatabase" localSheetId="0" hidden="1">'Herbalife-MUF-Punjab'!$A$1:$AB$40</definedName>
    <definedName name="_xlnm.Print_Area" localSheetId="0">'Herbalife-MUF-Punjab'!$A$1:$AB$40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0" i="1" l="1"/>
  <c r="T40" i="1"/>
  <c r="J19" i="1"/>
  <c r="K19" i="1"/>
  <c r="L19" i="1"/>
  <c r="M19" i="1"/>
  <c r="Q19" i="1"/>
  <c r="X19" i="1"/>
  <c r="Y19" i="1"/>
  <c r="J21" i="1"/>
  <c r="K21" i="1"/>
  <c r="L21" i="1"/>
  <c r="M21" i="1"/>
  <c r="Q21" i="1"/>
  <c r="X21" i="1"/>
  <c r="Y21" i="1"/>
  <c r="J17" i="1"/>
  <c r="K17" i="1"/>
  <c r="L17" i="1"/>
  <c r="M17" i="1"/>
  <c r="Q17" i="1"/>
  <c r="X17" i="1"/>
  <c r="Y17" i="1"/>
  <c r="J16" i="1"/>
  <c r="K16" i="1"/>
  <c r="L16" i="1"/>
  <c r="M16" i="1"/>
  <c r="Q16" i="1"/>
  <c r="X16" i="1"/>
  <c r="Y16" i="1"/>
  <c r="I40" i="1" l="1"/>
  <c r="Q3" i="1"/>
  <c r="Y3" i="1"/>
  <c r="X3" i="1"/>
  <c r="N2" i="1"/>
  <c r="M3" i="1"/>
  <c r="L3" i="1"/>
  <c r="K3" i="1"/>
  <c r="J3" i="1"/>
  <c r="V2" i="1"/>
  <c r="V3" i="1" s="1"/>
  <c r="O2" i="1"/>
  <c r="O3" i="1" s="1"/>
  <c r="N3" i="1" l="1"/>
  <c r="W2" i="1"/>
  <c r="P2" i="1"/>
  <c r="S2" i="1" l="1"/>
  <c r="P3" i="1"/>
  <c r="W3" i="1"/>
  <c r="Z2" i="1"/>
  <c r="AA2" i="1" s="1"/>
  <c r="AB2" i="1" s="1"/>
  <c r="U2" i="1" l="1"/>
  <c r="S3" i="1"/>
  <c r="J6" i="1" l="1"/>
  <c r="K6" i="1"/>
  <c r="L6" i="1"/>
  <c r="M6" i="1"/>
  <c r="Q6" i="1"/>
  <c r="X6" i="1"/>
  <c r="Y6" i="1"/>
  <c r="J5" i="1"/>
  <c r="K5" i="1"/>
  <c r="L5" i="1"/>
  <c r="M5" i="1"/>
  <c r="Q5" i="1"/>
  <c r="X5" i="1"/>
  <c r="Y5" i="1"/>
  <c r="V4" i="1" l="1"/>
  <c r="O4" i="1"/>
  <c r="N4" i="1"/>
  <c r="J34" i="1"/>
  <c r="K34" i="1"/>
  <c r="L34" i="1"/>
  <c r="M34" i="1"/>
  <c r="Q34" i="1"/>
  <c r="X34" i="1"/>
  <c r="Y34" i="1"/>
  <c r="J33" i="1"/>
  <c r="K33" i="1"/>
  <c r="L33" i="1"/>
  <c r="M33" i="1"/>
  <c r="Q33" i="1"/>
  <c r="X33" i="1"/>
  <c r="Y33" i="1"/>
  <c r="J22" i="1"/>
  <c r="K22" i="1"/>
  <c r="L22" i="1"/>
  <c r="M22" i="1"/>
  <c r="Q22" i="1"/>
  <c r="X22" i="1"/>
  <c r="Y22" i="1"/>
  <c r="J13" i="1"/>
  <c r="K13" i="1"/>
  <c r="L13" i="1"/>
  <c r="M13" i="1"/>
  <c r="Q13" i="1"/>
  <c r="X13" i="1"/>
  <c r="Y13" i="1"/>
  <c r="J9" i="1"/>
  <c r="K9" i="1"/>
  <c r="L9" i="1"/>
  <c r="M9" i="1"/>
  <c r="Q9" i="1"/>
  <c r="X9" i="1"/>
  <c r="Y9" i="1"/>
  <c r="V6" i="1" l="1"/>
  <c r="N6" i="1"/>
  <c r="O6" i="1"/>
  <c r="N5" i="1"/>
  <c r="O5" i="1"/>
  <c r="V5" i="1"/>
  <c r="W4" i="1"/>
  <c r="P4" i="1"/>
  <c r="U3" i="1" l="1"/>
  <c r="Z3" i="1"/>
  <c r="P5" i="1"/>
  <c r="P6" i="1"/>
  <c r="S6" i="1" s="1"/>
  <c r="U6" i="1" s="1"/>
  <c r="W5" i="1"/>
  <c r="Z5" i="1" s="1"/>
  <c r="W6" i="1"/>
  <c r="Z6" i="1" s="1"/>
  <c r="AA6" i="1" s="1"/>
  <c r="AB6" i="1" s="1"/>
  <c r="S5" i="1"/>
  <c r="S4" i="1"/>
  <c r="U4" i="1" s="1"/>
  <c r="Z4" i="1"/>
  <c r="AA4" i="1" s="1"/>
  <c r="AB4" i="1" s="1"/>
  <c r="U5" i="1" l="1"/>
  <c r="AA3" i="1"/>
  <c r="AA5" i="1"/>
  <c r="AB5" i="1" s="1"/>
  <c r="AB3" i="1" l="1"/>
  <c r="M37" i="1"/>
  <c r="J36" i="1"/>
  <c r="J32" i="1"/>
  <c r="L30" i="1"/>
  <c r="M29" i="1"/>
  <c r="M26" i="1"/>
  <c r="J23" i="1"/>
  <c r="K10" i="1"/>
  <c r="J27" i="1"/>
  <c r="K27" i="1"/>
  <c r="L27" i="1"/>
  <c r="M27" i="1"/>
  <c r="Q27" i="1"/>
  <c r="X27" i="1"/>
  <c r="Y27" i="1"/>
  <c r="J26" i="1"/>
  <c r="L26" i="1"/>
  <c r="Q26" i="1"/>
  <c r="Y26" i="1"/>
  <c r="J24" i="1"/>
  <c r="K24" i="1"/>
  <c r="L24" i="1"/>
  <c r="M24" i="1"/>
  <c r="Q24" i="1"/>
  <c r="X24" i="1"/>
  <c r="Y24" i="1"/>
  <c r="J37" i="1"/>
  <c r="L37" i="1"/>
  <c r="Q37" i="1"/>
  <c r="Y37" i="1"/>
  <c r="K36" i="1"/>
  <c r="M36" i="1"/>
  <c r="Q36" i="1"/>
  <c r="X36" i="1"/>
  <c r="Y36" i="1"/>
  <c r="K32" i="1"/>
  <c r="M32" i="1"/>
  <c r="Q32" i="1"/>
  <c r="X32" i="1"/>
  <c r="Y32" i="1"/>
  <c r="J31" i="1"/>
  <c r="K31" i="1"/>
  <c r="L31" i="1"/>
  <c r="M31" i="1"/>
  <c r="Q31" i="1"/>
  <c r="X31" i="1"/>
  <c r="Y31" i="1"/>
  <c r="K30" i="1"/>
  <c r="M30" i="1"/>
  <c r="Q30" i="1"/>
  <c r="X30" i="1"/>
  <c r="Y30" i="1"/>
  <c r="J29" i="1"/>
  <c r="L29" i="1"/>
  <c r="Q29" i="1"/>
  <c r="Y29" i="1"/>
  <c r="K23" i="1"/>
  <c r="M23" i="1"/>
  <c r="Q23" i="1"/>
  <c r="X23" i="1"/>
  <c r="Y23" i="1"/>
  <c r="J10" i="1"/>
  <c r="L10" i="1"/>
  <c r="Q10" i="1"/>
  <c r="Y10" i="1"/>
  <c r="M10" i="1" l="1"/>
  <c r="L23" i="1"/>
  <c r="X29" i="1"/>
  <c r="K29" i="1"/>
  <c r="J30" i="1"/>
  <c r="L32" i="1"/>
  <c r="L36" i="1"/>
  <c r="X37" i="1"/>
  <c r="K37" i="1"/>
  <c r="X26" i="1"/>
  <c r="K26" i="1"/>
  <c r="X10" i="1"/>
  <c r="J15" i="1" l="1"/>
  <c r="K15" i="1"/>
  <c r="L15" i="1"/>
  <c r="M15" i="1"/>
  <c r="Q15" i="1"/>
  <c r="X15" i="1"/>
  <c r="Y15" i="1"/>
  <c r="J18" i="1"/>
  <c r="K18" i="1"/>
  <c r="L18" i="1"/>
  <c r="M18" i="1"/>
  <c r="Q18" i="1"/>
  <c r="X18" i="1"/>
  <c r="Y18" i="1"/>
  <c r="X35" i="1" l="1"/>
  <c r="X39" i="1"/>
  <c r="X28" i="1"/>
  <c r="X14" i="1"/>
  <c r="X12" i="1"/>
  <c r="X8" i="1"/>
  <c r="X11" i="1"/>
  <c r="X20" i="1"/>
  <c r="X25" i="1"/>
  <c r="X38" i="1"/>
  <c r="X40" i="1" l="1"/>
  <c r="L11" i="1"/>
  <c r="L12" i="1"/>
  <c r="Y25" i="1"/>
  <c r="Q25" i="1"/>
  <c r="M25" i="1"/>
  <c r="L25" i="1"/>
  <c r="K25" i="1"/>
  <c r="J25" i="1"/>
  <c r="Y20" i="1"/>
  <c r="Q20" i="1"/>
  <c r="M20" i="1"/>
  <c r="L20" i="1"/>
  <c r="K20" i="1"/>
  <c r="J20" i="1"/>
  <c r="Y11" i="1"/>
  <c r="Q11" i="1"/>
  <c r="M11" i="1"/>
  <c r="K11" i="1"/>
  <c r="Y8" i="1"/>
  <c r="Q8" i="1"/>
  <c r="M8" i="1"/>
  <c r="L8" i="1"/>
  <c r="K8" i="1"/>
  <c r="J8" i="1"/>
  <c r="Y12" i="1"/>
  <c r="Q12" i="1"/>
  <c r="M12" i="1"/>
  <c r="K12" i="1"/>
  <c r="Y14" i="1"/>
  <c r="Q14" i="1"/>
  <c r="M14" i="1"/>
  <c r="L14" i="1"/>
  <c r="K14" i="1"/>
  <c r="J14" i="1"/>
  <c r="Y28" i="1"/>
  <c r="Q28" i="1"/>
  <c r="M28" i="1"/>
  <c r="L28" i="1"/>
  <c r="K28" i="1"/>
  <c r="J28" i="1"/>
  <c r="Y39" i="1"/>
  <c r="Q39" i="1"/>
  <c r="M39" i="1"/>
  <c r="L39" i="1"/>
  <c r="K39" i="1"/>
  <c r="J39" i="1"/>
  <c r="Y35" i="1"/>
  <c r="Q35" i="1"/>
  <c r="M35" i="1"/>
  <c r="L35" i="1"/>
  <c r="K35" i="1"/>
  <c r="J35" i="1"/>
  <c r="J12" i="1" l="1"/>
  <c r="J11" i="1"/>
  <c r="N7" i="1"/>
  <c r="K38" i="1"/>
  <c r="K40" i="1" s="1"/>
  <c r="J38" i="1"/>
  <c r="L38" i="1"/>
  <c r="L40" i="1" s="1"/>
  <c r="M38" i="1"/>
  <c r="M40" i="1" s="1"/>
  <c r="Q38" i="1"/>
  <c r="Q40" i="1" s="1"/>
  <c r="Y38" i="1"/>
  <c r="Y40" i="1" s="1"/>
  <c r="V7" i="1"/>
  <c r="O7" i="1"/>
  <c r="J40" i="1" l="1"/>
  <c r="V21" i="1"/>
  <c r="V19" i="1"/>
  <c r="O21" i="1"/>
  <c r="O19" i="1"/>
  <c r="N21" i="1"/>
  <c r="N19" i="1"/>
  <c r="V16" i="1"/>
  <c r="V17" i="1"/>
  <c r="O16" i="1"/>
  <c r="O17" i="1"/>
  <c r="N16" i="1"/>
  <c r="N17" i="1"/>
  <c r="O34" i="1"/>
  <c r="O33" i="1"/>
  <c r="N34" i="1"/>
  <c r="N33" i="1"/>
  <c r="V34" i="1"/>
  <c r="V33" i="1"/>
  <c r="O13" i="1"/>
  <c r="O22" i="1"/>
  <c r="N13" i="1"/>
  <c r="N22" i="1"/>
  <c r="V13" i="1"/>
  <c r="V22" i="1"/>
  <c r="V27" i="1"/>
  <c r="V9" i="1"/>
  <c r="O27" i="1"/>
  <c r="O9" i="1"/>
  <c r="N27" i="1"/>
  <c r="N9" i="1"/>
  <c r="O24" i="1"/>
  <c r="O26" i="1"/>
  <c r="N24" i="1"/>
  <c r="N26" i="1"/>
  <c r="V24" i="1"/>
  <c r="V26" i="1"/>
  <c r="O36" i="1"/>
  <c r="O37" i="1"/>
  <c r="N36" i="1"/>
  <c r="N37" i="1"/>
  <c r="V36" i="1"/>
  <c r="V37" i="1"/>
  <c r="O32" i="1"/>
  <c r="N32" i="1"/>
  <c r="V32" i="1"/>
  <c r="O30" i="1"/>
  <c r="O31" i="1"/>
  <c r="N30" i="1"/>
  <c r="N31" i="1"/>
  <c r="V30" i="1"/>
  <c r="V31" i="1"/>
  <c r="O23" i="1"/>
  <c r="O29" i="1"/>
  <c r="N23" i="1"/>
  <c r="N29" i="1"/>
  <c r="V23" i="1"/>
  <c r="V29" i="1"/>
  <c r="N10" i="1"/>
  <c r="O10" i="1"/>
  <c r="V10" i="1"/>
  <c r="O18" i="1"/>
  <c r="O15" i="1"/>
  <c r="N18" i="1"/>
  <c r="N15" i="1"/>
  <c r="V18" i="1"/>
  <c r="V15" i="1"/>
  <c r="V20" i="1"/>
  <c r="V11" i="1"/>
  <c r="V25" i="1"/>
  <c r="V8" i="1"/>
  <c r="N20" i="1"/>
  <c r="N25" i="1"/>
  <c r="N11" i="1"/>
  <c r="N8" i="1"/>
  <c r="O25" i="1"/>
  <c r="O8" i="1"/>
  <c r="O20" i="1"/>
  <c r="O11" i="1"/>
  <c r="O12" i="1"/>
  <c r="O14" i="1"/>
  <c r="O28" i="1"/>
  <c r="O39" i="1"/>
  <c r="V12" i="1"/>
  <c r="V14" i="1"/>
  <c r="V28" i="1"/>
  <c r="V39" i="1"/>
  <c r="N28" i="1"/>
  <c r="N12" i="1"/>
  <c r="N14" i="1"/>
  <c r="N39" i="1"/>
  <c r="O38" i="1"/>
  <c r="O35" i="1"/>
  <c r="V38" i="1"/>
  <c r="V35" i="1"/>
  <c r="N35" i="1"/>
  <c r="N38" i="1"/>
  <c r="W7" i="1"/>
  <c r="P7" i="1"/>
  <c r="O40" i="1" l="1"/>
  <c r="P21" i="1"/>
  <c r="S21" i="1" s="1"/>
  <c r="U21" i="1" s="1"/>
  <c r="P19" i="1"/>
  <c r="S19" i="1" s="1"/>
  <c r="U19" i="1" s="1"/>
  <c r="N40" i="1"/>
  <c r="V40" i="1"/>
  <c r="W21" i="1"/>
  <c r="Z21" i="1" s="1"/>
  <c r="AA21" i="1" s="1"/>
  <c r="AB21" i="1" s="1"/>
  <c r="W19" i="1"/>
  <c r="Z19" i="1" s="1"/>
  <c r="AA19" i="1" s="1"/>
  <c r="AB19" i="1" s="1"/>
  <c r="W16" i="1"/>
  <c r="Z16" i="1" s="1"/>
  <c r="AA16" i="1" s="1"/>
  <c r="AB16" i="1" s="1"/>
  <c r="W17" i="1"/>
  <c r="Z17" i="1" s="1"/>
  <c r="AA17" i="1" s="1"/>
  <c r="AB17" i="1" s="1"/>
  <c r="P16" i="1"/>
  <c r="S16" i="1" s="1"/>
  <c r="U16" i="1" s="1"/>
  <c r="P17" i="1"/>
  <c r="S17" i="1" s="1"/>
  <c r="U17" i="1" s="1"/>
  <c r="P22" i="1"/>
  <c r="S22" i="1" s="1"/>
  <c r="U22" i="1" s="1"/>
  <c r="P34" i="1"/>
  <c r="S34" i="1" s="1"/>
  <c r="U34" i="1" s="1"/>
  <c r="P33" i="1"/>
  <c r="S33" i="1" s="1"/>
  <c r="U33" i="1" s="1"/>
  <c r="W34" i="1"/>
  <c r="Z34" i="1" s="1"/>
  <c r="AA34" i="1" s="1"/>
  <c r="AB34" i="1" s="1"/>
  <c r="W33" i="1"/>
  <c r="Z33" i="1" s="1"/>
  <c r="AA33" i="1" s="1"/>
  <c r="AB33" i="1" s="1"/>
  <c r="W13" i="1"/>
  <c r="Z13" i="1" s="1"/>
  <c r="AA13" i="1" s="1"/>
  <c r="AB13" i="1" s="1"/>
  <c r="W22" i="1"/>
  <c r="Z22" i="1" s="1"/>
  <c r="AA22" i="1" s="1"/>
  <c r="AB22" i="1" s="1"/>
  <c r="P9" i="1"/>
  <c r="S9" i="1" s="1"/>
  <c r="U9" i="1" s="1"/>
  <c r="P13" i="1"/>
  <c r="S13" i="1" s="1"/>
  <c r="U13" i="1" s="1"/>
  <c r="W27" i="1"/>
  <c r="Z27" i="1" s="1"/>
  <c r="AA27" i="1" s="1"/>
  <c r="AB27" i="1" s="1"/>
  <c r="W9" i="1"/>
  <c r="Z9" i="1" s="1"/>
  <c r="AA9" i="1" s="1"/>
  <c r="AB9" i="1" s="1"/>
  <c r="P26" i="1"/>
  <c r="S26" i="1" s="1"/>
  <c r="U26" i="1" s="1"/>
  <c r="P27" i="1"/>
  <c r="S27" i="1" s="1"/>
  <c r="U27" i="1" s="1"/>
  <c r="W24" i="1"/>
  <c r="Z24" i="1" s="1"/>
  <c r="W26" i="1"/>
  <c r="Z26" i="1" s="1"/>
  <c r="P24" i="1"/>
  <c r="S24" i="1" s="1"/>
  <c r="U24" i="1" s="1"/>
  <c r="P37" i="1"/>
  <c r="S37" i="1" s="1"/>
  <c r="U37" i="1" s="1"/>
  <c r="W36" i="1"/>
  <c r="Z36" i="1" s="1"/>
  <c r="W37" i="1"/>
  <c r="Z37" i="1" s="1"/>
  <c r="P36" i="1"/>
  <c r="S36" i="1" s="1"/>
  <c r="U36" i="1" s="1"/>
  <c r="W32" i="1"/>
  <c r="Z32" i="1" s="1"/>
  <c r="P31" i="1"/>
  <c r="S31" i="1" s="1"/>
  <c r="U31" i="1" s="1"/>
  <c r="P32" i="1"/>
  <c r="S32" i="1" s="1"/>
  <c r="U32" i="1" s="1"/>
  <c r="W30" i="1"/>
  <c r="Z30" i="1" s="1"/>
  <c r="W31" i="1"/>
  <c r="Z31" i="1" s="1"/>
  <c r="P29" i="1"/>
  <c r="S29" i="1" s="1"/>
  <c r="U29" i="1" s="1"/>
  <c r="P30" i="1"/>
  <c r="S30" i="1" s="1"/>
  <c r="U30" i="1" s="1"/>
  <c r="W23" i="1"/>
  <c r="Z23" i="1" s="1"/>
  <c r="W29" i="1"/>
  <c r="Z29" i="1" s="1"/>
  <c r="P10" i="1"/>
  <c r="S10" i="1" s="1"/>
  <c r="U10" i="1" s="1"/>
  <c r="P23" i="1"/>
  <c r="S23" i="1" s="1"/>
  <c r="U23" i="1" s="1"/>
  <c r="W10" i="1"/>
  <c r="Z10" i="1" s="1"/>
  <c r="P15" i="1"/>
  <c r="S15" i="1" s="1"/>
  <c r="U15" i="1" s="1"/>
  <c r="W18" i="1"/>
  <c r="Z18" i="1" s="1"/>
  <c r="W15" i="1"/>
  <c r="Z15" i="1" s="1"/>
  <c r="S7" i="1"/>
  <c r="U7" i="1" s="1"/>
  <c r="P18" i="1"/>
  <c r="S18" i="1" s="1"/>
  <c r="U18" i="1" s="1"/>
  <c r="W25" i="1"/>
  <c r="Z25" i="1" s="1"/>
  <c r="W20" i="1"/>
  <c r="Z20" i="1" s="1"/>
  <c r="W11" i="1"/>
  <c r="Z11" i="1" s="1"/>
  <c r="W8" i="1"/>
  <c r="P25" i="1"/>
  <c r="S25" i="1" s="1"/>
  <c r="U25" i="1" s="1"/>
  <c r="P20" i="1"/>
  <c r="S20" i="1" s="1"/>
  <c r="U20" i="1" s="1"/>
  <c r="P11" i="1"/>
  <c r="S11" i="1" s="1"/>
  <c r="U11" i="1" s="1"/>
  <c r="P8" i="1"/>
  <c r="W39" i="1"/>
  <c r="Z39" i="1" s="1"/>
  <c r="W12" i="1"/>
  <c r="Z12" i="1" s="1"/>
  <c r="W14" i="1"/>
  <c r="Z14" i="1" s="1"/>
  <c r="W28" i="1"/>
  <c r="Z28" i="1" s="1"/>
  <c r="P12" i="1"/>
  <c r="S12" i="1" s="1"/>
  <c r="U12" i="1" s="1"/>
  <c r="P14" i="1"/>
  <c r="S14" i="1" s="1"/>
  <c r="U14" i="1" s="1"/>
  <c r="P28" i="1"/>
  <c r="S28" i="1" s="1"/>
  <c r="U28" i="1" s="1"/>
  <c r="P39" i="1"/>
  <c r="S39" i="1" s="1"/>
  <c r="U39" i="1" s="1"/>
  <c r="W35" i="1"/>
  <c r="Z35" i="1" s="1"/>
  <c r="P35" i="1"/>
  <c r="S35" i="1" s="1"/>
  <c r="U35" i="1" s="1"/>
  <c r="P38" i="1"/>
  <c r="S38" i="1" s="1"/>
  <c r="U38" i="1" s="1"/>
  <c r="W38" i="1"/>
  <c r="Z38" i="1" s="1"/>
  <c r="Z7" i="1"/>
  <c r="P40" i="1" l="1"/>
  <c r="W40" i="1"/>
  <c r="AA28" i="1"/>
  <c r="AB28" i="1" s="1"/>
  <c r="AA20" i="1"/>
  <c r="AB20" i="1" s="1"/>
  <c r="AA23" i="1"/>
  <c r="AB23" i="1" s="1"/>
  <c r="AA12" i="1"/>
  <c r="AB12" i="1" s="1"/>
  <c r="AA15" i="1"/>
  <c r="AB15" i="1" s="1"/>
  <c r="AA7" i="1"/>
  <c r="AB7" i="1" s="1"/>
  <c r="AA35" i="1"/>
  <c r="AB35" i="1" s="1"/>
  <c r="AA39" i="1"/>
  <c r="AB39" i="1" s="1"/>
  <c r="AA38" i="1"/>
  <c r="AB38" i="1" s="1"/>
  <c r="AA11" i="1"/>
  <c r="AB11" i="1" s="1"/>
  <c r="AA29" i="1"/>
  <c r="AB29" i="1" s="1"/>
  <c r="AA31" i="1"/>
  <c r="AB31" i="1" s="1"/>
  <c r="AA24" i="1"/>
  <c r="AB24" i="1" s="1"/>
  <c r="AA10" i="1"/>
  <c r="AB10" i="1" s="1"/>
  <c r="AA30" i="1"/>
  <c r="AB30" i="1" s="1"/>
  <c r="AA37" i="1"/>
  <c r="AB37" i="1" s="1"/>
  <c r="AA14" i="1"/>
  <c r="AB14" i="1" s="1"/>
  <c r="AA25" i="1"/>
  <c r="AB25" i="1" s="1"/>
  <c r="AA32" i="1"/>
  <c r="AB32" i="1" s="1"/>
  <c r="AA36" i="1"/>
  <c r="AB36" i="1" s="1"/>
  <c r="AA18" i="1"/>
  <c r="AB18" i="1" s="1"/>
  <c r="AA26" i="1"/>
  <c r="AB26" i="1" s="1"/>
  <c r="Z8" i="1"/>
  <c r="Z40" i="1" s="1"/>
  <c r="S8" i="1"/>
  <c r="S40" i="1" s="1"/>
  <c r="U8" i="1" l="1"/>
  <c r="U40" i="1" s="1"/>
  <c r="AA8" i="1"/>
  <c r="AA40" i="1" s="1"/>
  <c r="AB8" i="1" l="1"/>
  <c r="AB40" i="1" s="1"/>
</calcChain>
</file>

<file path=xl/sharedStrings.xml><?xml version="1.0" encoding="utf-8"?>
<sst xmlns="http://schemas.openxmlformats.org/spreadsheetml/2006/main" count="136" uniqueCount="101">
  <si>
    <t>Sl No</t>
  </si>
  <si>
    <t>Name</t>
  </si>
  <si>
    <t>UAN No</t>
  </si>
  <si>
    <t>ESI No</t>
  </si>
  <si>
    <t>Month</t>
  </si>
  <si>
    <t>M Days</t>
  </si>
  <si>
    <t>P Days</t>
  </si>
  <si>
    <t>Basic</t>
  </si>
  <si>
    <t>Bonus</t>
  </si>
  <si>
    <t>Leave</t>
  </si>
  <si>
    <t>Gross</t>
  </si>
  <si>
    <t>PF@12%</t>
  </si>
  <si>
    <t>ESI@.75%</t>
  </si>
  <si>
    <t>LWF</t>
  </si>
  <si>
    <t>Net In Hand</t>
  </si>
  <si>
    <t>PF@13%</t>
  </si>
  <si>
    <t>ESI@3.25%</t>
  </si>
  <si>
    <t>Uniform/
Shoes</t>
  </si>
  <si>
    <t>CTC</t>
  </si>
  <si>
    <t>CTC/Bill (Incl. Serv Chg)</t>
  </si>
  <si>
    <t>Total</t>
  </si>
  <si>
    <t>Service Charge @ 8%</t>
  </si>
  <si>
    <t>Picker</t>
  </si>
  <si>
    <t>Advance Paid</t>
  </si>
  <si>
    <t>Attendance Incentive</t>
  </si>
  <si>
    <t>Total In Hand</t>
  </si>
  <si>
    <t>Emp Code</t>
  </si>
  <si>
    <t>VWH1824</t>
  </si>
  <si>
    <t>VWH1828</t>
  </si>
  <si>
    <t>VWH1787</t>
  </si>
  <si>
    <t>VWH1792</t>
  </si>
  <si>
    <t>VWH1800</t>
  </si>
  <si>
    <t>VWH1823</t>
  </si>
  <si>
    <t>VWH1825</t>
  </si>
  <si>
    <t>VWH1790</t>
  </si>
  <si>
    <t>VWH1819</t>
  </si>
  <si>
    <t>VWH1789</t>
  </si>
  <si>
    <t>SLA (Picker)</t>
  </si>
  <si>
    <t>ABHISHEK l</t>
  </si>
  <si>
    <t>AMRINDER SINGH</t>
  </si>
  <si>
    <t>ANKIT</t>
  </si>
  <si>
    <t>ANKUSH</t>
  </si>
  <si>
    <t xml:space="preserve">GOURAV </t>
  </si>
  <si>
    <t>GURWINDER SINGH</t>
  </si>
  <si>
    <t>HARPREET SINGH</t>
  </si>
  <si>
    <t>HARSHDEEP SINGH</t>
  </si>
  <si>
    <t>HARWINDER SINGH</t>
  </si>
  <si>
    <t>INDERJEET SINGH</t>
  </si>
  <si>
    <t>JASPREET I</t>
  </si>
  <si>
    <t>RAVI PARKASH</t>
  </si>
  <si>
    <t>SACHIN KASHYAP</t>
  </si>
  <si>
    <t>SUMIT KUMAR</t>
  </si>
  <si>
    <t>SUNEEL KUMAR</t>
  </si>
  <si>
    <t>VWH1902</t>
  </si>
  <si>
    <t>VWH1901</t>
  </si>
  <si>
    <t>VWH1921</t>
  </si>
  <si>
    <t>VWH1903</t>
  </si>
  <si>
    <t>Designation</t>
  </si>
  <si>
    <t>DEO</t>
  </si>
  <si>
    <t>Supervisor</t>
  </si>
  <si>
    <t>VWH1922</t>
  </si>
  <si>
    <t>ANKIT KUMAR ll</t>
  </si>
  <si>
    <t>VWH1952</t>
  </si>
  <si>
    <t>BALVIR SINGH</t>
  </si>
  <si>
    <t>VWH1960</t>
  </si>
  <si>
    <t>BANTI</t>
  </si>
  <si>
    <t>VWH1826</t>
  </si>
  <si>
    <t>DEEPAK</t>
  </si>
  <si>
    <t>GURPREET SINGH</t>
  </si>
  <si>
    <t>VWH1820</t>
  </si>
  <si>
    <t>HARPREET</t>
  </si>
  <si>
    <t>VWH1649</t>
  </si>
  <si>
    <t>KULDEEP SINGH ll</t>
  </si>
  <si>
    <t>VWH1917</t>
  </si>
  <si>
    <t>VWH1923</t>
  </si>
  <si>
    <t>VWH1795</t>
  </si>
  <si>
    <t xml:space="preserve">MUKESH </t>
  </si>
  <si>
    <t>PASHUPATI</t>
  </si>
  <si>
    <t>VWH1954</t>
  </si>
  <si>
    <t>ROHIT SINGH</t>
  </si>
  <si>
    <t>SANJAY TALWAR</t>
  </si>
  <si>
    <t>VWH1791</t>
  </si>
  <si>
    <t>SURINDER</t>
  </si>
  <si>
    <t>VWH1980</t>
  </si>
  <si>
    <t>VIJAY KUMAR</t>
  </si>
  <si>
    <t>VWH2001</t>
  </si>
  <si>
    <t>MOHIT  II</t>
  </si>
  <si>
    <t>MOHIT I</t>
  </si>
  <si>
    <t>SLA (Supervisor)</t>
  </si>
  <si>
    <t>SLA (DEO)</t>
  </si>
  <si>
    <t>HRA / Allowance</t>
  </si>
  <si>
    <t>NEPALI</t>
  </si>
  <si>
    <t>DEEPAK KUMAR JAISWAL</t>
  </si>
  <si>
    <t>VWH1092</t>
  </si>
  <si>
    <t>DIYA RAM</t>
  </si>
  <si>
    <t>VWH2018</t>
  </si>
  <si>
    <t>GURINDER SINGH</t>
  </si>
  <si>
    <t>VWH1146</t>
  </si>
  <si>
    <t>GURPREET SINGH II</t>
  </si>
  <si>
    <t>VWH2019</t>
  </si>
  <si>
    <t>TARANPREET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</si>
</sst>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0;[Red]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272C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49">
    <xf numFmtId="0" fontId="0" fillId="0" borderId="0" xfId="0"/>
    <xf numFmtId="0" fontId="2" fillId="0" borderId="3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Protection="1"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hidden="1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3" borderId="7" xfId="0" applyFont="1" applyFill="1" applyBorder="1" applyAlignment="1" applyProtection="1">
      <alignment horizontal="center" vertical="center"/>
      <protection locked="0"/>
    </xf>
    <xf numFmtId="0" fontId="4" fillId="3" borderId="7" xfId="0" applyFont="1" applyFill="1" applyBorder="1" applyAlignment="1" applyProtection="1">
      <alignment horizontal="center" vertical="center"/>
      <protection hidden="1"/>
    </xf>
    <xf numFmtId="0" fontId="4" fillId="0" borderId="7" xfId="0" applyFont="1" applyBorder="1" applyAlignment="1" applyProtection="1">
      <alignment horizontal="center" vertical="center"/>
      <protection hidden="1"/>
    </xf>
    <xf numFmtId="0" fontId="4" fillId="0" borderId="8" xfId="0" applyFont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locked="0"/>
    </xf>
    <xf numFmtId="164" fontId="4" fillId="0" borderId="7" xfId="1" applyNumberFormat="1" applyFont="1" applyFill="1" applyBorder="1" applyProtection="1">
      <protection hidden="1"/>
    </xf>
    <xf numFmtId="164" fontId="4" fillId="0" borderId="8" xfId="1" applyNumberFormat="1" applyFont="1" applyFill="1" applyBorder="1" applyProtection="1">
      <protection hidden="1"/>
    </xf>
    <xf numFmtId="0" fontId="3" fillId="0" borderId="3" xfId="0" applyFont="1" applyFill="1" applyBorder="1" applyAlignment="1" applyProtection="1">
      <alignment horizontal="center"/>
      <protection locked="0"/>
    </xf>
    <xf numFmtId="165" fontId="3" fillId="0" borderId="3" xfId="0" quotePrefix="1" applyNumberFormat="1" applyFont="1" applyFill="1" applyBorder="1" applyProtection="1">
      <protection locked="0"/>
    </xf>
    <xf numFmtId="17" fontId="3" fillId="3" borderId="3" xfId="0" applyNumberFormat="1" applyFont="1" applyFill="1" applyBorder="1" applyAlignment="1" applyProtection="1">
      <alignment horizontal="center"/>
      <protection locked="0"/>
    </xf>
    <xf numFmtId="0" fontId="3" fillId="3" borderId="3" xfId="0" applyFont="1" applyFill="1" applyBorder="1" applyProtection="1">
      <protection locked="0"/>
    </xf>
    <xf numFmtId="164" fontId="3" fillId="0" borderId="3" xfId="1" applyNumberFormat="1" applyFont="1" applyFill="1" applyBorder="1" applyProtection="1">
      <protection hidden="1"/>
    </xf>
    <xf numFmtId="164" fontId="3" fillId="0" borderId="1" xfId="1" applyNumberFormat="1" applyFont="1" applyFill="1" applyBorder="1" applyProtection="1">
      <protection hidden="1"/>
    </xf>
    <xf numFmtId="0" fontId="3" fillId="0" borderId="0" xfId="0" applyFont="1" applyFill="1" applyProtection="1">
      <protection locked="0"/>
    </xf>
    <xf numFmtId="0" fontId="2" fillId="0" borderId="3" xfId="0" applyFont="1" applyFill="1" applyBorder="1" applyAlignment="1" applyProtection="1">
      <alignment horizontal="center"/>
      <protection locked="0"/>
    </xf>
    <xf numFmtId="164" fontId="2" fillId="0" borderId="3" xfId="1" applyNumberFormat="1" applyFont="1" applyFill="1" applyBorder="1" applyProtection="1">
      <protection hidden="1"/>
    </xf>
    <xf numFmtId="0" fontId="2" fillId="0" borderId="0" xfId="0" applyFont="1" applyFill="1" applyProtection="1">
      <protection locked="0"/>
    </xf>
    <xf numFmtId="0" fontId="3" fillId="0" borderId="1" xfId="0" applyFont="1" applyFill="1" applyBorder="1" applyAlignment="1" applyProtection="1">
      <alignment horizontal="center"/>
      <protection locked="0"/>
    </xf>
    <xf numFmtId="164" fontId="4" fillId="0" borderId="7" xfId="1" applyNumberFormat="1" applyFont="1" applyFill="1" applyBorder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5" fillId="0" borderId="0" xfId="0" applyFont="1" applyFill="1" applyAlignment="1">
      <alignment horizontal="center" vertical="center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3" fillId="2" borderId="10" xfId="0" applyFont="1" applyFill="1" applyBorder="1" applyAlignment="1" applyProtection="1">
      <alignment horizontal="center" vertical="center" wrapText="1"/>
      <protection locked="0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0" fontId="3" fillId="2" borderId="10" xfId="0" applyFont="1" applyFill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right"/>
      <protection locked="0"/>
    </xf>
    <xf numFmtId="0" fontId="4" fillId="0" borderId="5" xfId="0" applyFont="1" applyBorder="1" applyAlignment="1" applyProtection="1">
      <alignment horizontal="right"/>
      <protection locked="0"/>
    </xf>
    <xf numFmtId="0" fontId="4" fillId="0" borderId="6" xfId="0" applyFont="1" applyBorder="1" applyAlignment="1" applyProtection="1">
      <alignment horizontal="right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5" xfId="0" applyFont="1" applyBorder="1" applyAlignment="1" applyProtection="1">
      <alignment horizontal="center"/>
      <protection locked="0"/>
    </xf>
  </cellXfs>
  <cellStyles count="3">
    <cellStyle name="Comma" xfId="1" builtinId="3"/>
    <cellStyle name="Normal" xfId="0" builtinId="0"/>
    <cellStyle name="Normal 2" xfId="2" xr:uid="{43B229AD-8806-49A4-A14F-BFC938439D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F@13%25" TargetMode="External"/><Relationship Id="rId2" Type="http://schemas.openxmlformats.org/officeDocument/2006/relationships/hyperlink" Target="mailto:ESI@.75%25" TargetMode="External"/><Relationship Id="rId1" Type="http://schemas.openxmlformats.org/officeDocument/2006/relationships/hyperlink" Target="mailto:PF@12%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ESI@3.25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659DD-C113-4B29-9B09-BCC2F108159B}">
  <sheetPr>
    <pageSetUpPr fitToPage="1"/>
  </sheetPr>
  <dimension ref="A1:AB40"/>
  <sheetViews>
    <sheetView tabSelected="1" zoomScaleNormal="100" workbookViewId="0">
      <selection activeCell="C9" sqref="C9"/>
    </sheetView>
  </sheetViews>
  <sheetFormatPr defaultColWidth="9.140625" defaultRowHeight="12.75" x14ac:dyDescent="0.2"/>
  <cols>
    <col min="1" max="1" width="6.42578125" style="3" bestFit="1" customWidth="1"/>
    <col min="2" max="2" width="12.28515625" style="3" bestFit="1" customWidth="1"/>
    <col min="3" max="3" width="26.28515625" style="3" customWidth="1"/>
    <col min="4" max="4" width="14" style="3" customWidth="1"/>
    <col min="5" max="5" width="14.7109375" style="3" customWidth="1"/>
    <col min="6" max="6" width="12.42578125" style="3" customWidth="1"/>
    <col min="7" max="7" width="7.5703125" style="27" customWidth="1"/>
    <col min="8" max="8" width="8.28515625" style="3" customWidth="1"/>
    <col min="9" max="9" width="7.85546875" style="3" customWidth="1"/>
    <col min="10" max="10" width="10.140625" style="3" customWidth="1"/>
    <col min="11" max="11" width="11" style="3" customWidth="1"/>
    <col min="12" max="13" width="8.42578125" style="3" customWidth="1"/>
    <col min="14" max="14" width="10.140625" style="3" customWidth="1"/>
    <col min="15" max="15" width="10" style="3" customWidth="1"/>
    <col min="16" max="16" width="11.28515625" style="3" customWidth="1"/>
    <col min="17" max="17" width="5.42578125" style="3" customWidth="1"/>
    <col min="18" max="18" width="12.42578125" style="3" customWidth="1"/>
    <col min="19" max="19" width="10.140625" style="3" customWidth="1"/>
    <col min="20" max="20" width="9.7109375" style="3" customWidth="1"/>
    <col min="21" max="21" width="10.140625" style="3" customWidth="1"/>
    <col min="22" max="22" width="10" style="3" customWidth="1"/>
    <col min="23" max="23" width="12.42578125" style="3" customWidth="1"/>
    <col min="24" max="24" width="9" style="3" customWidth="1"/>
    <col min="25" max="25" width="10" style="3" bestFit="1" customWidth="1"/>
    <col min="26" max="26" width="10.140625" style="3" customWidth="1"/>
    <col min="27" max="27" width="11.140625" style="3" customWidth="1"/>
    <col min="28" max="28" width="11.28515625" style="3" customWidth="1"/>
    <col min="29" max="16384" width="9.140625" style="3"/>
  </cols>
  <sheetData>
    <row r="1" spans="1:28" s="11" customFormat="1" ht="39" thickBot="1" x14ac:dyDescent="0.3">
      <c r="A1" s="4" t="s">
        <v>0</v>
      </c>
      <c r="B1" s="5" t="s">
        <v>26</v>
      </c>
      <c r="C1" s="6" t="s">
        <v>1</v>
      </c>
      <c r="D1" s="6" t="s">
        <v>57</v>
      </c>
      <c r="E1" s="6" t="s">
        <v>2</v>
      </c>
      <c r="F1" s="6" t="s">
        <v>3</v>
      </c>
      <c r="G1" s="7" t="s">
        <v>4</v>
      </c>
      <c r="H1" s="8" t="s">
        <v>5</v>
      </c>
      <c r="I1" s="7" t="s">
        <v>6</v>
      </c>
      <c r="J1" s="9" t="s">
        <v>7</v>
      </c>
      <c r="K1" s="5" t="s">
        <v>90</v>
      </c>
      <c r="L1" s="5" t="s">
        <v>9</v>
      </c>
      <c r="M1" s="9" t="s">
        <v>8</v>
      </c>
      <c r="N1" s="9" t="s">
        <v>10</v>
      </c>
      <c r="O1" s="9" t="s">
        <v>11</v>
      </c>
      <c r="P1" s="9" t="s">
        <v>12</v>
      </c>
      <c r="Q1" s="9" t="s">
        <v>13</v>
      </c>
      <c r="R1" s="5" t="s">
        <v>24</v>
      </c>
      <c r="S1" s="5" t="s">
        <v>25</v>
      </c>
      <c r="T1" s="5" t="s">
        <v>23</v>
      </c>
      <c r="U1" s="5" t="s">
        <v>14</v>
      </c>
      <c r="V1" s="9" t="s">
        <v>15</v>
      </c>
      <c r="W1" s="5" t="s">
        <v>16</v>
      </c>
      <c r="X1" s="5" t="s">
        <v>17</v>
      </c>
      <c r="Y1" s="9" t="s">
        <v>13</v>
      </c>
      <c r="Z1" s="9" t="s">
        <v>18</v>
      </c>
      <c r="AA1" s="5" t="s">
        <v>21</v>
      </c>
      <c r="AB1" s="10" t="s">
        <v>19</v>
      </c>
    </row>
    <row r="2" spans="1:28" ht="13.5" thickBot="1" x14ac:dyDescent="0.25">
      <c r="A2" s="47" t="s">
        <v>89</v>
      </c>
      <c r="B2" s="48"/>
      <c r="C2" s="48"/>
      <c r="D2" s="48"/>
      <c r="E2" s="48"/>
      <c r="F2" s="48"/>
      <c r="G2" s="48"/>
      <c r="H2" s="48"/>
      <c r="I2" s="46"/>
      <c r="J2" s="12">
        <v>15000</v>
      </c>
      <c r="K2" s="12">
        <v>5930</v>
      </c>
      <c r="L2" s="12">
        <v>1298</v>
      </c>
      <c r="M2" s="12">
        <v>1250</v>
      </c>
      <c r="N2" s="12">
        <f>SUM(J2:M2)</f>
        <v>23478</v>
      </c>
      <c r="O2" s="12">
        <f>J2*12%</f>
        <v>1800</v>
      </c>
      <c r="P2" s="12">
        <f>N2*0.75%</f>
        <v>176.08499999999998</v>
      </c>
      <c r="Q2" s="12">
        <v>0</v>
      </c>
      <c r="R2" s="12"/>
      <c r="S2" s="12">
        <f>N2-O2-P2-Q2-R2</f>
        <v>21501.915000000001</v>
      </c>
      <c r="T2" s="12"/>
      <c r="U2" s="12">
        <f t="shared" ref="U2:U3" si="0">S2-T2</f>
        <v>21501.915000000001</v>
      </c>
      <c r="V2" s="12">
        <f>J2*13%</f>
        <v>1950</v>
      </c>
      <c r="W2" s="12">
        <f>N2*3.25%</f>
        <v>763.03500000000008</v>
      </c>
      <c r="X2" s="12">
        <v>300</v>
      </c>
      <c r="Y2" s="12">
        <v>0</v>
      </c>
      <c r="Z2" s="12">
        <f>N2+V2+W2+X2+Y2</f>
        <v>26491.035</v>
      </c>
      <c r="AA2" s="12">
        <f t="shared" ref="AA2:AA3" si="1">Z2*8%</f>
        <v>2119.2828</v>
      </c>
      <c r="AB2" s="13">
        <f>Z2+AA2</f>
        <v>28610.317800000001</v>
      </c>
    </row>
    <row r="3" spans="1:28" s="20" customFormat="1" ht="13.5" thickBot="1" x14ac:dyDescent="0.25">
      <c r="A3" s="14">
        <v>1</v>
      </c>
      <c r="B3" s="28" t="s">
        <v>85</v>
      </c>
      <c r="C3" s="29" t="s">
        <v>49</v>
      </c>
      <c r="D3" s="1" t="s">
        <v>58</v>
      </c>
      <c r="E3" s="15">
        <v>101990919218</v>
      </c>
      <c r="F3" s="15" t="e">
        <v>#N/A</v>
      </c>
      <c r="G3" s="16">
        <v>46054</v>
      </c>
      <c r="H3" s="17">
        <v>24</v>
      </c>
      <c r="I3" s="17">
        <v>21</v>
      </c>
      <c r="J3" s="18">
        <f>($J$2/H3)*I3</f>
        <v>13125</v>
      </c>
      <c r="K3" s="18">
        <f>$K$2/H3*I3</f>
        <v>5188.75</v>
      </c>
      <c r="L3" s="18">
        <f>$L$2/H3*I3</f>
        <v>1135.75</v>
      </c>
      <c r="M3" s="18">
        <f>$M$2/H3*I3</f>
        <v>1093.75</v>
      </c>
      <c r="N3" s="18">
        <f>$N$2/H3*I3</f>
        <v>20543.25</v>
      </c>
      <c r="O3" s="18">
        <f>$O$2/H3*I3</f>
        <v>1575</v>
      </c>
      <c r="P3" s="18">
        <f>$P$2/H3*I3</f>
        <v>154.07437499999997</v>
      </c>
      <c r="Q3" s="12">
        <f>$Q$2</f>
        <v>0</v>
      </c>
      <c r="R3" s="18"/>
      <c r="S3" s="18">
        <f>S2/H3*I3+R3</f>
        <v>18814.175625</v>
      </c>
      <c r="T3" s="18"/>
      <c r="U3" s="18">
        <f t="shared" si="0"/>
        <v>18814.175625</v>
      </c>
      <c r="V3" s="18">
        <f>($V$2/H3)*I3</f>
        <v>1706.25</v>
      </c>
      <c r="W3" s="18">
        <f>($W$2/H3)*I3</f>
        <v>667.6556250000001</v>
      </c>
      <c r="X3" s="18">
        <f>($X$2/H3*I3)</f>
        <v>262.5</v>
      </c>
      <c r="Y3" s="18">
        <f>($Y$2)</f>
        <v>0</v>
      </c>
      <c r="Z3" s="18">
        <f t="shared" ref="Z3" si="2">N3+R3+V3+W3+X3+Y3</f>
        <v>23179.655624999999</v>
      </c>
      <c r="AA3" s="18">
        <f t="shared" si="1"/>
        <v>1854.3724500000001</v>
      </c>
      <c r="AB3" s="19">
        <f t="shared" ref="AB3" si="3">Z3+AA3</f>
        <v>25034.028074999998</v>
      </c>
    </row>
    <row r="4" spans="1:28" ht="13.5" thickBot="1" x14ac:dyDescent="0.25">
      <c r="A4" s="47" t="s">
        <v>88</v>
      </c>
      <c r="B4" s="48"/>
      <c r="C4" s="48"/>
      <c r="D4" s="48"/>
      <c r="E4" s="48"/>
      <c r="F4" s="48"/>
      <c r="G4" s="48"/>
      <c r="H4" s="48"/>
      <c r="I4" s="46"/>
      <c r="J4" s="12">
        <v>13067</v>
      </c>
      <c r="K4" s="12">
        <v>3570</v>
      </c>
      <c r="L4" s="12">
        <v>1131</v>
      </c>
      <c r="M4" s="12">
        <v>1088</v>
      </c>
      <c r="N4" s="12">
        <f>J4+K4+L4+M4</f>
        <v>18856</v>
      </c>
      <c r="O4" s="12">
        <f>J4*12%</f>
        <v>1568.04</v>
      </c>
      <c r="P4" s="12">
        <f>N4*0.75%</f>
        <v>141.41999999999999</v>
      </c>
      <c r="Q4" s="12">
        <v>5</v>
      </c>
      <c r="R4" s="12"/>
      <c r="S4" s="12">
        <f>N4-O4-P4-Q4-R4</f>
        <v>17141.54</v>
      </c>
      <c r="T4" s="12"/>
      <c r="U4" s="12">
        <f t="shared" ref="U4" si="4">S4-T4</f>
        <v>17141.54</v>
      </c>
      <c r="V4" s="12">
        <f>J4*13%</f>
        <v>1698.71</v>
      </c>
      <c r="W4" s="12">
        <f>N4*3.25%</f>
        <v>612.82000000000005</v>
      </c>
      <c r="X4" s="12">
        <v>300</v>
      </c>
      <c r="Y4" s="12">
        <v>20</v>
      </c>
      <c r="Z4" s="12">
        <f>N4+V4+W4+X4+Y4</f>
        <v>21487.53</v>
      </c>
      <c r="AA4" s="12">
        <f t="shared" ref="AA4" si="5">Z4*8%</f>
        <v>1719.0023999999999</v>
      </c>
      <c r="AB4" s="13">
        <f>Z4+AA4</f>
        <v>23206.5324</v>
      </c>
    </row>
    <row r="5" spans="1:28" s="20" customFormat="1" x14ac:dyDescent="0.2">
      <c r="A5" s="14">
        <v>2</v>
      </c>
      <c r="B5" s="30" t="s">
        <v>30</v>
      </c>
      <c r="C5" s="31" t="s">
        <v>45</v>
      </c>
      <c r="D5" s="1" t="s">
        <v>59</v>
      </c>
      <c r="E5" s="15">
        <v>102121594187</v>
      </c>
      <c r="F5" s="15">
        <v>1015044459</v>
      </c>
      <c r="G5" s="16">
        <v>46054</v>
      </c>
      <c r="H5" s="17">
        <v>24</v>
      </c>
      <c r="I5" s="17">
        <v>24</v>
      </c>
      <c r="J5" s="18">
        <f>($J$4/H5)*I5</f>
        <v>13067</v>
      </c>
      <c r="K5" s="18">
        <f>($K$4/H5)*I5</f>
        <v>3570</v>
      </c>
      <c r="L5" s="18">
        <f>($L$4/H5)*I5</f>
        <v>1131</v>
      </c>
      <c r="M5" s="18">
        <f>($M$4/H5)*I5</f>
        <v>1088</v>
      </c>
      <c r="N5" s="18">
        <f>($N$4/H5)*I5</f>
        <v>18856</v>
      </c>
      <c r="O5" s="18">
        <f>($O$4/H5)*I5</f>
        <v>1568.04</v>
      </c>
      <c r="P5" s="18">
        <f>($P$4/H5)*I5</f>
        <v>141.41999999999999</v>
      </c>
      <c r="Q5" s="18">
        <f>($Q$7)</f>
        <v>5</v>
      </c>
      <c r="R5" s="18">
        <v>2000</v>
      </c>
      <c r="S5" s="18">
        <f t="shared" ref="S5" si="6">N5-O5-P5-Q5+R5</f>
        <v>19141.54</v>
      </c>
      <c r="T5" s="18"/>
      <c r="U5" s="18">
        <f t="shared" ref="U5" si="7">S5-T5</f>
        <v>19141.54</v>
      </c>
      <c r="V5" s="18">
        <f>($V$4/H5)*I5</f>
        <v>1698.71</v>
      </c>
      <c r="W5" s="18">
        <f>($W$4/H5)*I5</f>
        <v>612.82000000000005</v>
      </c>
      <c r="X5" s="18">
        <f>($X$4/H5*I5)</f>
        <v>300</v>
      </c>
      <c r="Y5" s="18">
        <f>($Y$7)</f>
        <v>20</v>
      </c>
      <c r="Z5" s="18">
        <f t="shared" ref="Z5" si="8">N5+R5+V5+W5+X5+Y5</f>
        <v>23487.53</v>
      </c>
      <c r="AA5" s="18">
        <f t="shared" ref="AA5" si="9">Z5*8%</f>
        <v>1879.0023999999999</v>
      </c>
      <c r="AB5" s="19">
        <f t="shared" ref="AB5" si="10">Z5+AA5</f>
        <v>25366.5324</v>
      </c>
    </row>
    <row r="6" spans="1:28" s="20" customFormat="1" ht="13.5" thickBot="1" x14ac:dyDescent="0.25">
      <c r="A6" s="14">
        <v>3</v>
      </c>
      <c r="B6" s="31" t="s">
        <v>31</v>
      </c>
      <c r="C6" s="31" t="s">
        <v>46</v>
      </c>
      <c r="D6" s="1" t="s">
        <v>59</v>
      </c>
      <c r="E6" s="15">
        <v>101305414930</v>
      </c>
      <c r="F6" s="15">
        <v>1015025183</v>
      </c>
      <c r="G6" s="16">
        <v>46054</v>
      </c>
      <c r="H6" s="17">
        <v>24</v>
      </c>
      <c r="I6" s="17">
        <v>24</v>
      </c>
      <c r="J6" s="18">
        <f>($J$4/H6)*I6</f>
        <v>13067</v>
      </c>
      <c r="K6" s="18">
        <f>($K$4/H6)*I6</f>
        <v>3570</v>
      </c>
      <c r="L6" s="18">
        <f>($L$4/H6)*I6</f>
        <v>1131</v>
      </c>
      <c r="M6" s="18">
        <f>($M$4/H6)*I6</f>
        <v>1088</v>
      </c>
      <c r="N6" s="18">
        <f>($N$4/H6)*I6</f>
        <v>18856</v>
      </c>
      <c r="O6" s="18">
        <f>($O$4/H6)*I6</f>
        <v>1568.04</v>
      </c>
      <c r="P6" s="18">
        <f>($P$4/H6)*I6</f>
        <v>141.41999999999999</v>
      </c>
      <c r="Q6" s="18">
        <f>($Q$7)</f>
        <v>5</v>
      </c>
      <c r="R6" s="18">
        <v>2000</v>
      </c>
      <c r="S6" s="18">
        <f t="shared" ref="S6" si="11">N6-O6-P6-Q6+R6</f>
        <v>19141.54</v>
      </c>
      <c r="T6" s="18"/>
      <c r="U6" s="18">
        <f t="shared" ref="U6" si="12">S6-T6</f>
        <v>19141.54</v>
      </c>
      <c r="V6" s="18">
        <f>($V$4/H6)*I6</f>
        <v>1698.71</v>
      </c>
      <c r="W6" s="18">
        <f>($W$4/H6)*I6</f>
        <v>612.82000000000005</v>
      </c>
      <c r="X6" s="18">
        <f>($X$4/H6*I6)</f>
        <v>300</v>
      </c>
      <c r="Y6" s="18">
        <f>($Y$7)</f>
        <v>20</v>
      </c>
      <c r="Z6" s="18">
        <f t="shared" ref="Z6" si="13">N6+R6+V6+W6+X6+Y6</f>
        <v>23487.53</v>
      </c>
      <c r="AA6" s="18">
        <f t="shared" ref="AA6" si="14">Z6*8%</f>
        <v>1879.0023999999999</v>
      </c>
      <c r="AB6" s="19">
        <f t="shared" ref="AB6" si="15">Z6+AA6</f>
        <v>25366.5324</v>
      </c>
    </row>
    <row r="7" spans="1:28" ht="13.5" thickBot="1" x14ac:dyDescent="0.25">
      <c r="A7" s="47" t="s">
        <v>37</v>
      </c>
      <c r="B7" s="48"/>
      <c r="C7" s="48"/>
      <c r="D7" s="48"/>
      <c r="E7" s="48"/>
      <c r="F7" s="48"/>
      <c r="G7" s="48"/>
      <c r="H7" s="48"/>
      <c r="I7" s="46"/>
      <c r="J7" s="12">
        <v>12170</v>
      </c>
      <c r="K7" s="12">
        <v>100</v>
      </c>
      <c r="L7" s="12">
        <v>1053</v>
      </c>
      <c r="M7" s="12">
        <v>1014</v>
      </c>
      <c r="N7" s="12">
        <f>J7+K7+L7+M7</f>
        <v>14337</v>
      </c>
      <c r="O7" s="12">
        <f>J7*12%</f>
        <v>1460.3999999999999</v>
      </c>
      <c r="P7" s="12">
        <f>N7*0.75%</f>
        <v>107.52749999999999</v>
      </c>
      <c r="Q7" s="12">
        <v>5</v>
      </c>
      <c r="R7" s="12"/>
      <c r="S7" s="12">
        <f>N7-O7-P7-Q7-R7</f>
        <v>12764.0725</v>
      </c>
      <c r="T7" s="12"/>
      <c r="U7" s="12">
        <f t="shared" ref="U7:U25" si="16">S7-T7</f>
        <v>12764.0725</v>
      </c>
      <c r="V7" s="12">
        <f>J7*13%</f>
        <v>1582.1000000000001</v>
      </c>
      <c r="W7" s="12">
        <f>N7*3.25%</f>
        <v>465.95250000000004</v>
      </c>
      <c r="X7" s="12">
        <v>300</v>
      </c>
      <c r="Y7" s="12">
        <v>20</v>
      </c>
      <c r="Z7" s="12">
        <f>N7+V7+W7+X7+Y7</f>
        <v>16705.052500000002</v>
      </c>
      <c r="AA7" s="12">
        <f t="shared" ref="AA7:AA39" si="17">Z7*8%</f>
        <v>1336.4042000000002</v>
      </c>
      <c r="AB7" s="13">
        <f>Z7+AA7</f>
        <v>18041.456700000002</v>
      </c>
    </row>
    <row r="8" spans="1:28" s="23" customFormat="1" x14ac:dyDescent="0.2">
      <c r="A8" s="21">
        <v>4</v>
      </c>
      <c r="B8" s="32" t="s">
        <v>53</v>
      </c>
      <c r="C8" s="31" t="s">
        <v>38</v>
      </c>
      <c r="D8" s="1" t="s">
        <v>22</v>
      </c>
      <c r="E8" s="15">
        <v>101646366874</v>
      </c>
      <c r="F8" s="15">
        <v>1015043624</v>
      </c>
      <c r="G8" s="16">
        <v>46054</v>
      </c>
      <c r="H8" s="17">
        <v>24</v>
      </c>
      <c r="I8" s="17">
        <v>24</v>
      </c>
      <c r="J8" s="22">
        <f t="shared" ref="J8:J20" si="18">($J$7/H8)*I8</f>
        <v>12170</v>
      </c>
      <c r="K8" s="22">
        <f t="shared" ref="K8:K39" si="19">($K$7/H8)*I8</f>
        <v>100</v>
      </c>
      <c r="L8" s="22">
        <f t="shared" ref="L8:L39" si="20">($L$7/H8)*I8</f>
        <v>1053</v>
      </c>
      <c r="M8" s="22">
        <f t="shared" ref="M8:M39" si="21">($M$7/H8)*I8</f>
        <v>1014</v>
      </c>
      <c r="N8" s="22">
        <f t="shared" ref="N8:N39" si="22">($N$7/H8)*I8</f>
        <v>14337</v>
      </c>
      <c r="O8" s="22">
        <f t="shared" ref="O8:O39" si="23">($O$7/H8)*I8</f>
        <v>1460.3999999999999</v>
      </c>
      <c r="P8" s="22">
        <f t="shared" ref="P8:P39" si="24">($P$7/H8)*I8</f>
        <v>107.52749999999997</v>
      </c>
      <c r="Q8" s="22">
        <f t="shared" ref="Q8:Q39" si="25">($Q$7)</f>
        <v>5</v>
      </c>
      <c r="R8" s="18">
        <v>2000</v>
      </c>
      <c r="S8" s="22">
        <f t="shared" ref="S8:S25" si="26">N8-O8-P8-Q8+R8</f>
        <v>14764.0725</v>
      </c>
      <c r="T8" s="18"/>
      <c r="U8" s="22">
        <f t="shared" si="16"/>
        <v>14764.0725</v>
      </c>
      <c r="V8" s="22">
        <f t="shared" ref="V8:V39" si="27">($V$7/H8)*I8</f>
        <v>1582.1</v>
      </c>
      <c r="W8" s="22">
        <f t="shared" ref="W8:W39" si="28">($W$7/H8)*I8</f>
        <v>465.9525000000001</v>
      </c>
      <c r="X8" s="22">
        <f t="shared" ref="X8:X39" si="29">($X$7/H8*I8)</f>
        <v>300</v>
      </c>
      <c r="Y8" s="22">
        <f t="shared" ref="Y8:Y39" si="30">($Y$7)</f>
        <v>20</v>
      </c>
      <c r="Z8" s="22">
        <f t="shared" ref="Z8:Z39" si="31">N8+R8+V8+W8+X8+Y8</f>
        <v>18705.052499999998</v>
      </c>
      <c r="AA8" s="22">
        <f t="shared" si="17"/>
        <v>1496.4041999999999</v>
      </c>
      <c r="AB8" s="22">
        <f t="shared" ref="AB8:AB39" si="32">Z8+AA8</f>
        <v>20201.456699999999</v>
      </c>
    </row>
    <row r="9" spans="1:28" s="20" customFormat="1" x14ac:dyDescent="0.2">
      <c r="A9" s="24">
        <v>5</v>
      </c>
      <c r="B9" s="33" t="s">
        <v>27</v>
      </c>
      <c r="C9" s="31" t="s">
        <v>39</v>
      </c>
      <c r="D9" s="2" t="s">
        <v>22</v>
      </c>
      <c r="E9" s="15">
        <v>102073642474</v>
      </c>
      <c r="F9" s="15">
        <v>1015038334</v>
      </c>
      <c r="G9" s="16">
        <v>46054</v>
      </c>
      <c r="H9" s="17">
        <v>24</v>
      </c>
      <c r="I9" s="17">
        <v>23</v>
      </c>
      <c r="J9" s="19">
        <f t="shared" ref="J9" si="33">($J$7/H9)*I9</f>
        <v>11662.916666666666</v>
      </c>
      <c r="K9" s="19">
        <f t="shared" si="19"/>
        <v>95.833333333333343</v>
      </c>
      <c r="L9" s="19">
        <f t="shared" si="20"/>
        <v>1009.125</v>
      </c>
      <c r="M9" s="19">
        <f t="shared" si="21"/>
        <v>971.75</v>
      </c>
      <c r="N9" s="19">
        <f t="shared" si="22"/>
        <v>13739.625</v>
      </c>
      <c r="O9" s="19">
        <f t="shared" si="23"/>
        <v>1399.55</v>
      </c>
      <c r="P9" s="19">
        <f t="shared" si="24"/>
        <v>103.04718749999998</v>
      </c>
      <c r="Q9" s="19">
        <f t="shared" si="25"/>
        <v>5</v>
      </c>
      <c r="R9" s="18"/>
      <c r="S9" s="19">
        <f t="shared" ref="S9" si="34">N9-O9-P9-Q9+R9</f>
        <v>12232.0278125</v>
      </c>
      <c r="T9" s="18"/>
      <c r="U9" s="19">
        <f t="shared" ref="U9" si="35">S9-T9</f>
        <v>12232.0278125</v>
      </c>
      <c r="V9" s="19">
        <f t="shared" si="27"/>
        <v>1516.1791666666668</v>
      </c>
      <c r="W9" s="19">
        <f t="shared" si="28"/>
        <v>446.53781250000009</v>
      </c>
      <c r="X9" s="19">
        <f t="shared" si="29"/>
        <v>287.5</v>
      </c>
      <c r="Y9" s="19">
        <f t="shared" si="30"/>
        <v>20</v>
      </c>
      <c r="Z9" s="19">
        <f t="shared" ref="Z9" si="36">N9+R9+V9+W9+X9+Y9</f>
        <v>16009.841979166667</v>
      </c>
      <c r="AA9" s="19">
        <f t="shared" ref="AA9" si="37">Z9*8%</f>
        <v>1280.7873583333335</v>
      </c>
      <c r="AB9" s="19">
        <f t="shared" ref="AB9" si="38">Z9+AA9</f>
        <v>17290.629337500002</v>
      </c>
    </row>
    <row r="10" spans="1:28" x14ac:dyDescent="0.2">
      <c r="A10" s="21">
        <v>6</v>
      </c>
      <c r="B10" s="34" t="s">
        <v>28</v>
      </c>
      <c r="C10" s="31" t="s">
        <v>40</v>
      </c>
      <c r="D10" s="2" t="s">
        <v>22</v>
      </c>
      <c r="E10" s="15">
        <v>102238230235</v>
      </c>
      <c r="F10" s="15">
        <v>1015033448</v>
      </c>
      <c r="G10" s="16">
        <v>46054</v>
      </c>
      <c r="H10" s="17">
        <v>24</v>
      </c>
      <c r="I10" s="17">
        <v>23</v>
      </c>
      <c r="J10" s="19">
        <f t="shared" ref="J10" si="39">($J$7/H10)*I10</f>
        <v>11662.916666666666</v>
      </c>
      <c r="K10" s="19">
        <f t="shared" si="19"/>
        <v>95.833333333333343</v>
      </c>
      <c r="L10" s="19">
        <f t="shared" si="20"/>
        <v>1009.125</v>
      </c>
      <c r="M10" s="19">
        <f t="shared" si="21"/>
        <v>971.75</v>
      </c>
      <c r="N10" s="19">
        <f t="shared" si="22"/>
        <v>13739.625</v>
      </c>
      <c r="O10" s="19">
        <f t="shared" si="23"/>
        <v>1399.55</v>
      </c>
      <c r="P10" s="19">
        <f t="shared" si="24"/>
        <v>103.04718749999998</v>
      </c>
      <c r="Q10" s="19">
        <f t="shared" si="25"/>
        <v>5</v>
      </c>
      <c r="R10" s="18"/>
      <c r="S10" s="19">
        <f t="shared" ref="S10" si="40">N10-O10-P10-Q10+R10</f>
        <v>12232.0278125</v>
      </c>
      <c r="T10" s="18"/>
      <c r="U10" s="19">
        <f t="shared" ref="U10" si="41">S10-T10</f>
        <v>12232.0278125</v>
      </c>
      <c r="V10" s="19">
        <f t="shared" si="27"/>
        <v>1516.1791666666668</v>
      </c>
      <c r="W10" s="19">
        <f t="shared" si="28"/>
        <v>446.53781250000009</v>
      </c>
      <c r="X10" s="19">
        <f t="shared" si="29"/>
        <v>287.5</v>
      </c>
      <c r="Y10" s="19">
        <f t="shared" si="30"/>
        <v>20</v>
      </c>
      <c r="Z10" s="19">
        <f t="shared" ref="Z10" si="42">N10+R10+V10+W10+X10+Y10</f>
        <v>16009.841979166667</v>
      </c>
      <c r="AA10" s="19">
        <f t="shared" ref="AA10" si="43">Z10*8%</f>
        <v>1280.7873583333335</v>
      </c>
      <c r="AB10" s="19">
        <f t="shared" si="32"/>
        <v>17290.629337500002</v>
      </c>
    </row>
    <row r="11" spans="1:28" x14ac:dyDescent="0.2">
      <c r="A11" s="24">
        <v>7</v>
      </c>
      <c r="B11" s="35" t="s">
        <v>60</v>
      </c>
      <c r="C11" s="31" t="s">
        <v>61</v>
      </c>
      <c r="D11" s="2" t="s">
        <v>22</v>
      </c>
      <c r="E11" s="15">
        <v>101747754080</v>
      </c>
      <c r="F11" s="15">
        <v>1015061980</v>
      </c>
      <c r="G11" s="16">
        <v>46054</v>
      </c>
      <c r="H11" s="17">
        <v>24</v>
      </c>
      <c r="I11" s="17">
        <v>24</v>
      </c>
      <c r="J11" s="19">
        <f t="shared" si="18"/>
        <v>12170</v>
      </c>
      <c r="K11" s="19">
        <f t="shared" si="19"/>
        <v>100</v>
      </c>
      <c r="L11" s="19">
        <f t="shared" si="20"/>
        <v>1053</v>
      </c>
      <c r="M11" s="19">
        <f t="shared" si="21"/>
        <v>1014</v>
      </c>
      <c r="N11" s="19">
        <f t="shared" si="22"/>
        <v>14337</v>
      </c>
      <c r="O11" s="19">
        <f t="shared" si="23"/>
        <v>1460.3999999999999</v>
      </c>
      <c r="P11" s="19">
        <f t="shared" si="24"/>
        <v>107.52749999999997</v>
      </c>
      <c r="Q11" s="19">
        <f t="shared" si="25"/>
        <v>5</v>
      </c>
      <c r="R11" s="18">
        <v>2000</v>
      </c>
      <c r="S11" s="19">
        <f t="shared" si="26"/>
        <v>14764.0725</v>
      </c>
      <c r="T11" s="18">
        <v>2000</v>
      </c>
      <c r="U11" s="19">
        <f t="shared" si="16"/>
        <v>12764.0725</v>
      </c>
      <c r="V11" s="19">
        <f t="shared" si="27"/>
        <v>1582.1</v>
      </c>
      <c r="W11" s="19">
        <f t="shared" si="28"/>
        <v>465.9525000000001</v>
      </c>
      <c r="X11" s="19">
        <f t="shared" si="29"/>
        <v>300</v>
      </c>
      <c r="Y11" s="19">
        <f t="shared" si="30"/>
        <v>20</v>
      </c>
      <c r="Z11" s="19">
        <f t="shared" si="31"/>
        <v>18705.052499999998</v>
      </c>
      <c r="AA11" s="19">
        <f t="shared" si="17"/>
        <v>1496.4041999999999</v>
      </c>
      <c r="AB11" s="19">
        <f t="shared" si="32"/>
        <v>20201.456699999999</v>
      </c>
    </row>
    <row r="12" spans="1:28" x14ac:dyDescent="0.2">
      <c r="A12" s="21">
        <v>8</v>
      </c>
      <c r="B12" s="33" t="s">
        <v>54</v>
      </c>
      <c r="C12" s="34" t="s">
        <v>41</v>
      </c>
      <c r="D12" s="2" t="s">
        <v>22</v>
      </c>
      <c r="E12" s="15">
        <v>101858471321</v>
      </c>
      <c r="F12" s="15">
        <v>1015038110</v>
      </c>
      <c r="G12" s="16">
        <v>46054</v>
      </c>
      <c r="H12" s="17">
        <v>24</v>
      </c>
      <c r="I12" s="17">
        <v>24</v>
      </c>
      <c r="J12" s="19">
        <f t="shared" si="18"/>
        <v>12170</v>
      </c>
      <c r="K12" s="19">
        <f t="shared" si="19"/>
        <v>100</v>
      </c>
      <c r="L12" s="19">
        <f t="shared" si="20"/>
        <v>1053</v>
      </c>
      <c r="M12" s="19">
        <f t="shared" si="21"/>
        <v>1014</v>
      </c>
      <c r="N12" s="19">
        <f t="shared" si="22"/>
        <v>14337</v>
      </c>
      <c r="O12" s="19">
        <f t="shared" si="23"/>
        <v>1460.3999999999999</v>
      </c>
      <c r="P12" s="19">
        <f t="shared" si="24"/>
        <v>107.52749999999997</v>
      </c>
      <c r="Q12" s="19">
        <f t="shared" si="25"/>
        <v>5</v>
      </c>
      <c r="R12" s="18">
        <v>2000</v>
      </c>
      <c r="S12" s="19">
        <f t="shared" si="26"/>
        <v>14764.0725</v>
      </c>
      <c r="T12" s="18"/>
      <c r="U12" s="19">
        <f t="shared" si="16"/>
        <v>14764.0725</v>
      </c>
      <c r="V12" s="19">
        <f t="shared" si="27"/>
        <v>1582.1</v>
      </c>
      <c r="W12" s="19">
        <f t="shared" si="28"/>
        <v>465.9525000000001</v>
      </c>
      <c r="X12" s="19">
        <f t="shared" si="29"/>
        <v>300</v>
      </c>
      <c r="Y12" s="19">
        <f t="shared" si="30"/>
        <v>20</v>
      </c>
      <c r="Z12" s="19">
        <f t="shared" si="31"/>
        <v>18705.052499999998</v>
      </c>
      <c r="AA12" s="19">
        <f t="shared" si="17"/>
        <v>1496.4041999999999</v>
      </c>
      <c r="AB12" s="19">
        <f t="shared" si="32"/>
        <v>20201.456699999999</v>
      </c>
    </row>
    <row r="13" spans="1:28" x14ac:dyDescent="0.2">
      <c r="A13" s="24">
        <v>9</v>
      </c>
      <c r="B13" s="36" t="s">
        <v>62</v>
      </c>
      <c r="C13" s="37" t="s">
        <v>63</v>
      </c>
      <c r="D13" s="2" t="s">
        <v>22</v>
      </c>
      <c r="E13" s="15">
        <v>101911134556</v>
      </c>
      <c r="F13" s="15" t="e">
        <v>#N/A</v>
      </c>
      <c r="G13" s="16">
        <v>46054</v>
      </c>
      <c r="H13" s="17">
        <v>24</v>
      </c>
      <c r="I13" s="17">
        <v>24</v>
      </c>
      <c r="J13" s="19">
        <f t="shared" ref="J13" si="44">($J$7/H13)*I13</f>
        <v>12170</v>
      </c>
      <c r="K13" s="19">
        <f t="shared" si="19"/>
        <v>100</v>
      </c>
      <c r="L13" s="19">
        <f t="shared" si="20"/>
        <v>1053</v>
      </c>
      <c r="M13" s="19">
        <f t="shared" si="21"/>
        <v>1014</v>
      </c>
      <c r="N13" s="19">
        <f t="shared" si="22"/>
        <v>14337</v>
      </c>
      <c r="O13" s="19">
        <f t="shared" si="23"/>
        <v>1460.3999999999999</v>
      </c>
      <c r="P13" s="19">
        <f t="shared" si="24"/>
        <v>107.52749999999997</v>
      </c>
      <c r="Q13" s="19">
        <f t="shared" si="25"/>
        <v>5</v>
      </c>
      <c r="R13" s="18">
        <v>2000</v>
      </c>
      <c r="S13" s="19">
        <f t="shared" ref="S13" si="45">N13-O13-P13-Q13+R13</f>
        <v>14764.0725</v>
      </c>
      <c r="T13" s="18"/>
      <c r="U13" s="19">
        <f t="shared" ref="U13" si="46">S13-T13</f>
        <v>14764.0725</v>
      </c>
      <c r="V13" s="19">
        <f t="shared" si="27"/>
        <v>1582.1</v>
      </c>
      <c r="W13" s="19">
        <f t="shared" si="28"/>
        <v>465.9525000000001</v>
      </c>
      <c r="X13" s="19">
        <f t="shared" si="29"/>
        <v>300</v>
      </c>
      <c r="Y13" s="19">
        <f t="shared" si="30"/>
        <v>20</v>
      </c>
      <c r="Z13" s="19">
        <f t="shared" ref="Z13" si="47">N13+R13+V13+W13+X13+Y13</f>
        <v>18705.052499999998</v>
      </c>
      <c r="AA13" s="19">
        <f t="shared" ref="AA13" si="48">Z13*8%</f>
        <v>1496.4041999999999</v>
      </c>
      <c r="AB13" s="19">
        <f t="shared" ref="AB13" si="49">Z13+AA13</f>
        <v>20201.456699999999</v>
      </c>
    </row>
    <row r="14" spans="1:28" x14ac:dyDescent="0.2">
      <c r="A14" s="21">
        <v>10</v>
      </c>
      <c r="B14" s="35" t="s">
        <v>64</v>
      </c>
      <c r="C14" s="31" t="s">
        <v>65</v>
      </c>
      <c r="D14" s="2" t="s">
        <v>22</v>
      </c>
      <c r="E14" s="15">
        <v>102250344964</v>
      </c>
      <c r="F14" s="15">
        <v>1015047107</v>
      </c>
      <c r="G14" s="16">
        <v>46054</v>
      </c>
      <c r="H14" s="17">
        <v>24</v>
      </c>
      <c r="I14" s="17">
        <v>23</v>
      </c>
      <c r="J14" s="19">
        <f t="shared" si="18"/>
        <v>11662.916666666666</v>
      </c>
      <c r="K14" s="19">
        <f t="shared" si="19"/>
        <v>95.833333333333343</v>
      </c>
      <c r="L14" s="19">
        <f t="shared" si="20"/>
        <v>1009.125</v>
      </c>
      <c r="M14" s="19">
        <f t="shared" si="21"/>
        <v>971.75</v>
      </c>
      <c r="N14" s="19">
        <f t="shared" si="22"/>
        <v>13739.625</v>
      </c>
      <c r="O14" s="19">
        <f t="shared" si="23"/>
        <v>1399.55</v>
      </c>
      <c r="P14" s="19">
        <f t="shared" si="24"/>
        <v>103.04718749999998</v>
      </c>
      <c r="Q14" s="19">
        <f t="shared" si="25"/>
        <v>5</v>
      </c>
      <c r="R14" s="19"/>
      <c r="S14" s="19">
        <f t="shared" si="26"/>
        <v>12232.0278125</v>
      </c>
      <c r="T14" s="18">
        <v>1000</v>
      </c>
      <c r="U14" s="19">
        <f t="shared" si="16"/>
        <v>11232.0278125</v>
      </c>
      <c r="V14" s="19">
        <f t="shared" si="27"/>
        <v>1516.1791666666668</v>
      </c>
      <c r="W14" s="19">
        <f t="shared" si="28"/>
        <v>446.53781250000009</v>
      </c>
      <c r="X14" s="19">
        <f t="shared" si="29"/>
        <v>287.5</v>
      </c>
      <c r="Y14" s="19">
        <f t="shared" si="30"/>
        <v>20</v>
      </c>
      <c r="Z14" s="19">
        <f t="shared" si="31"/>
        <v>16009.841979166667</v>
      </c>
      <c r="AA14" s="19">
        <f t="shared" si="17"/>
        <v>1280.7873583333335</v>
      </c>
      <c r="AB14" s="19">
        <f t="shared" si="32"/>
        <v>17290.629337500002</v>
      </c>
    </row>
    <row r="15" spans="1:28" x14ac:dyDescent="0.2">
      <c r="A15" s="24">
        <v>11</v>
      </c>
      <c r="B15" s="33" t="s">
        <v>66</v>
      </c>
      <c r="C15" s="31" t="s">
        <v>67</v>
      </c>
      <c r="D15" s="2" t="s">
        <v>22</v>
      </c>
      <c r="E15" s="15">
        <v>102061381268</v>
      </c>
      <c r="F15" s="15">
        <v>1015035296</v>
      </c>
      <c r="G15" s="16">
        <v>46054</v>
      </c>
      <c r="H15" s="17">
        <v>24</v>
      </c>
      <c r="I15" s="17">
        <v>24</v>
      </c>
      <c r="J15" s="19">
        <f t="shared" ref="J15" si="50">($J$7/H15)*I15</f>
        <v>12170</v>
      </c>
      <c r="K15" s="19">
        <f t="shared" si="19"/>
        <v>100</v>
      </c>
      <c r="L15" s="19">
        <f t="shared" si="20"/>
        <v>1053</v>
      </c>
      <c r="M15" s="19">
        <f t="shared" si="21"/>
        <v>1014</v>
      </c>
      <c r="N15" s="19">
        <f t="shared" si="22"/>
        <v>14337</v>
      </c>
      <c r="O15" s="19">
        <f t="shared" si="23"/>
        <v>1460.3999999999999</v>
      </c>
      <c r="P15" s="19">
        <f t="shared" si="24"/>
        <v>107.52749999999997</v>
      </c>
      <c r="Q15" s="19">
        <f t="shared" si="25"/>
        <v>5</v>
      </c>
      <c r="R15" s="18">
        <v>2000</v>
      </c>
      <c r="S15" s="19">
        <f t="shared" ref="S15" si="51">N15-O15-P15-Q15+R15</f>
        <v>14764.0725</v>
      </c>
      <c r="T15" s="18"/>
      <c r="U15" s="19">
        <f t="shared" ref="U15" si="52">S15-T15</f>
        <v>14764.0725</v>
      </c>
      <c r="V15" s="19">
        <f t="shared" si="27"/>
        <v>1582.1</v>
      </c>
      <c r="W15" s="19">
        <f t="shared" si="28"/>
        <v>465.9525000000001</v>
      </c>
      <c r="X15" s="19">
        <f t="shared" si="29"/>
        <v>300</v>
      </c>
      <c r="Y15" s="19">
        <f t="shared" si="30"/>
        <v>20</v>
      </c>
      <c r="Z15" s="19">
        <f t="shared" ref="Z15" si="53">N15+R15+V15+W15+X15+Y15</f>
        <v>18705.052499999998</v>
      </c>
      <c r="AA15" s="19">
        <f t="shared" ref="AA15" si="54">Z15*8%</f>
        <v>1496.4041999999999</v>
      </c>
      <c r="AB15" s="19">
        <f t="shared" si="32"/>
        <v>20201.456699999999</v>
      </c>
    </row>
    <row r="16" spans="1:28" x14ac:dyDescent="0.2">
      <c r="A16" s="21">
        <v>12</v>
      </c>
      <c r="B16" s="31" t="s">
        <v>91</v>
      </c>
      <c r="C16" s="31" t="s">
        <v>92</v>
      </c>
      <c r="D16" s="2" t="s">
        <v>22</v>
      </c>
      <c r="E16" s="15"/>
      <c r="F16" s="15"/>
      <c r="G16" s="16">
        <v>46054</v>
      </c>
      <c r="H16" s="17">
        <v>24</v>
      </c>
      <c r="I16" s="17">
        <v>16</v>
      </c>
      <c r="J16" s="19">
        <f t="shared" ref="J16" si="55">($J$7/H16)*I16</f>
        <v>8113.333333333333</v>
      </c>
      <c r="K16" s="19">
        <f t="shared" ref="K16" si="56">($K$7/H16)*I16</f>
        <v>66.666666666666671</v>
      </c>
      <c r="L16" s="19">
        <f t="shared" ref="L16" si="57">($L$7/H16)*I16</f>
        <v>702</v>
      </c>
      <c r="M16" s="19">
        <f t="shared" ref="M16" si="58">($M$7/H16)*I16</f>
        <v>676</v>
      </c>
      <c r="N16" s="19">
        <f t="shared" ref="N16" si="59">($N$7/H16)*I16</f>
        <v>9558</v>
      </c>
      <c r="O16" s="19">
        <f t="shared" ref="O16" si="60">($O$7/H16)*I16</f>
        <v>973.59999999999991</v>
      </c>
      <c r="P16" s="19">
        <f t="shared" ref="P16" si="61">($P$7/H16)*I16</f>
        <v>71.684999999999988</v>
      </c>
      <c r="Q16" s="19">
        <f t="shared" si="25"/>
        <v>5</v>
      </c>
      <c r="R16" s="18"/>
      <c r="S16" s="19">
        <f t="shared" ref="S16" si="62">N16-O16-P16-Q16+R16</f>
        <v>8507.7150000000001</v>
      </c>
      <c r="T16" s="18">
        <v>2000</v>
      </c>
      <c r="U16" s="19">
        <f t="shared" ref="U16" si="63">S16-T16</f>
        <v>6507.7150000000001</v>
      </c>
      <c r="V16" s="19">
        <f t="shared" ref="V16" si="64">($V$7/H16)*I16</f>
        <v>1054.7333333333333</v>
      </c>
      <c r="W16" s="19">
        <f t="shared" ref="W16" si="65">($W$7/H16)*I16</f>
        <v>310.63500000000005</v>
      </c>
      <c r="X16" s="19">
        <f t="shared" ref="X16" si="66">($X$7/H16*I16)</f>
        <v>200</v>
      </c>
      <c r="Y16" s="19">
        <f t="shared" si="30"/>
        <v>20</v>
      </c>
      <c r="Z16" s="19">
        <f t="shared" ref="Z16" si="67">N16+R16+V16+W16+X16+Y16</f>
        <v>11143.368333333334</v>
      </c>
      <c r="AA16" s="19">
        <f t="shared" ref="AA16" si="68">Z16*8%</f>
        <v>891.46946666666668</v>
      </c>
      <c r="AB16" s="19">
        <f t="shared" ref="AB16" si="69">Z16+AA16</f>
        <v>12034.837800000001</v>
      </c>
    </row>
    <row r="17" spans="1:28" x14ac:dyDescent="0.2">
      <c r="A17" s="24">
        <v>13</v>
      </c>
      <c r="B17" s="31" t="s">
        <v>93</v>
      </c>
      <c r="C17" s="31" t="s">
        <v>94</v>
      </c>
      <c r="D17" s="2" t="s">
        <v>22</v>
      </c>
      <c r="E17" s="15"/>
      <c r="F17" s="15"/>
      <c r="G17" s="16">
        <v>46054</v>
      </c>
      <c r="H17" s="17">
        <v>24</v>
      </c>
      <c r="I17" s="17">
        <v>16</v>
      </c>
      <c r="J17" s="19">
        <f t="shared" ref="J17" si="70">($J$7/H17)*I17</f>
        <v>8113.333333333333</v>
      </c>
      <c r="K17" s="19">
        <f t="shared" ref="K17" si="71">($K$7/H17)*I17</f>
        <v>66.666666666666671</v>
      </c>
      <c r="L17" s="19">
        <f t="shared" ref="L17" si="72">($L$7/H17)*I17</f>
        <v>702</v>
      </c>
      <c r="M17" s="19">
        <f t="shared" ref="M17" si="73">($M$7/H17)*I17</f>
        <v>676</v>
      </c>
      <c r="N17" s="19">
        <f t="shared" ref="N17" si="74">($N$7/H17)*I17</f>
        <v>9558</v>
      </c>
      <c r="O17" s="19">
        <f t="shared" ref="O17" si="75">($O$7/H17)*I17</f>
        <v>973.59999999999991</v>
      </c>
      <c r="P17" s="19">
        <f t="shared" ref="P17" si="76">($P$7/H17)*I17</f>
        <v>71.684999999999988</v>
      </c>
      <c r="Q17" s="19">
        <f t="shared" si="25"/>
        <v>5</v>
      </c>
      <c r="R17" s="18"/>
      <c r="S17" s="19">
        <f t="shared" ref="S17" si="77">N17-O17-P17-Q17+R17</f>
        <v>8507.7150000000001</v>
      </c>
      <c r="T17" s="18"/>
      <c r="U17" s="19">
        <f t="shared" ref="U17" si="78">S17-T17</f>
        <v>8507.7150000000001</v>
      </c>
      <c r="V17" s="19">
        <f t="shared" ref="V17" si="79">($V$7/H17)*I17</f>
        <v>1054.7333333333333</v>
      </c>
      <c r="W17" s="19">
        <f t="shared" ref="W17" si="80">($W$7/H17)*I17</f>
        <v>310.63500000000005</v>
      </c>
      <c r="X17" s="19">
        <f t="shared" ref="X17" si="81">($X$7/H17*I17)</f>
        <v>200</v>
      </c>
      <c r="Y17" s="19">
        <f t="shared" si="30"/>
        <v>20</v>
      </c>
      <c r="Z17" s="19">
        <f t="shared" ref="Z17" si="82">N17+R17+V17+W17+X17+Y17</f>
        <v>11143.368333333334</v>
      </c>
      <c r="AA17" s="19">
        <f t="shared" ref="AA17" si="83">Z17*8%</f>
        <v>891.46946666666668</v>
      </c>
      <c r="AB17" s="19">
        <f t="shared" ref="AB17" si="84">Z17+AA17</f>
        <v>12034.837800000001</v>
      </c>
    </row>
    <row r="18" spans="1:28" x14ac:dyDescent="0.2">
      <c r="A18" s="21">
        <v>14</v>
      </c>
      <c r="B18" s="33" t="s">
        <v>55</v>
      </c>
      <c r="C18" s="31" t="s">
        <v>42</v>
      </c>
      <c r="D18" s="2" t="s">
        <v>22</v>
      </c>
      <c r="E18" s="15">
        <v>102247285008</v>
      </c>
      <c r="F18" s="15">
        <v>1015061978</v>
      </c>
      <c r="G18" s="16">
        <v>46054</v>
      </c>
      <c r="H18" s="17">
        <v>24</v>
      </c>
      <c r="I18" s="17">
        <v>24</v>
      </c>
      <c r="J18" s="19">
        <f t="shared" ref="J18" si="85">($J$7/H18)*I18</f>
        <v>12170</v>
      </c>
      <c r="K18" s="19">
        <f t="shared" si="19"/>
        <v>100</v>
      </c>
      <c r="L18" s="19">
        <f t="shared" si="20"/>
        <v>1053</v>
      </c>
      <c r="M18" s="19">
        <f t="shared" si="21"/>
        <v>1014</v>
      </c>
      <c r="N18" s="19">
        <f t="shared" si="22"/>
        <v>14337</v>
      </c>
      <c r="O18" s="19">
        <f t="shared" si="23"/>
        <v>1460.3999999999999</v>
      </c>
      <c r="P18" s="19">
        <f t="shared" si="24"/>
        <v>107.52749999999997</v>
      </c>
      <c r="Q18" s="19">
        <f t="shared" si="25"/>
        <v>5</v>
      </c>
      <c r="R18" s="18">
        <v>2000</v>
      </c>
      <c r="S18" s="19">
        <f t="shared" ref="S18" si="86">N18-O18-P18-Q18+R18</f>
        <v>14764.0725</v>
      </c>
      <c r="T18" s="18"/>
      <c r="U18" s="19">
        <f t="shared" ref="U18" si="87">S18-T18</f>
        <v>14764.0725</v>
      </c>
      <c r="V18" s="19">
        <f t="shared" si="27"/>
        <v>1582.1</v>
      </c>
      <c r="W18" s="19">
        <f t="shared" si="28"/>
        <v>465.9525000000001</v>
      </c>
      <c r="X18" s="19">
        <f t="shared" si="29"/>
        <v>300</v>
      </c>
      <c r="Y18" s="19">
        <f t="shared" si="30"/>
        <v>20</v>
      </c>
      <c r="Z18" s="19">
        <f t="shared" ref="Z18" si="88">N18+R18+V18+W18+X18+Y18</f>
        <v>18705.052499999998</v>
      </c>
      <c r="AA18" s="19">
        <f t="shared" ref="AA18" si="89">Z18*8%</f>
        <v>1496.4041999999999</v>
      </c>
      <c r="AB18" s="19">
        <f t="shared" si="32"/>
        <v>20201.456699999999</v>
      </c>
    </row>
    <row r="19" spans="1:28" x14ac:dyDescent="0.2">
      <c r="A19" s="21">
        <v>14</v>
      </c>
      <c r="B19" s="38" t="s">
        <v>95</v>
      </c>
      <c r="C19" s="38" t="s">
        <v>96</v>
      </c>
      <c r="D19" s="2" t="s">
        <v>22</v>
      </c>
      <c r="E19" s="15"/>
      <c r="F19" s="15"/>
      <c r="G19" s="16">
        <v>46054</v>
      </c>
      <c r="H19" s="17">
        <v>24</v>
      </c>
      <c r="I19" s="17">
        <v>7</v>
      </c>
      <c r="J19" s="19">
        <f t="shared" ref="J19" si="90">($J$7/H19)*I19</f>
        <v>3549.583333333333</v>
      </c>
      <c r="K19" s="19">
        <f t="shared" ref="K19" si="91">($K$7/H19)*I19</f>
        <v>29.166666666666668</v>
      </c>
      <c r="L19" s="19">
        <f t="shared" ref="L19" si="92">($L$7/H19)*I19</f>
        <v>307.125</v>
      </c>
      <c r="M19" s="19">
        <f t="shared" ref="M19" si="93">($M$7/H19)*I19</f>
        <v>295.75</v>
      </c>
      <c r="N19" s="19">
        <f t="shared" ref="N19" si="94">($N$7/H19)*I19</f>
        <v>4181.625</v>
      </c>
      <c r="O19" s="19">
        <f t="shared" ref="O19" si="95">($O$7/H19)*I19</f>
        <v>425.94999999999993</v>
      </c>
      <c r="P19" s="19">
        <f t="shared" ref="P19" si="96">($P$7/H19)*I19</f>
        <v>31.362187499999994</v>
      </c>
      <c r="Q19" s="19">
        <f t="shared" si="25"/>
        <v>5</v>
      </c>
      <c r="R19" s="18"/>
      <c r="S19" s="19">
        <f t="shared" ref="S19" si="97">N19-O19-P19-Q19+R19</f>
        <v>3719.3128125000003</v>
      </c>
      <c r="T19" s="18"/>
      <c r="U19" s="19">
        <f t="shared" ref="U19" si="98">S19-T19</f>
        <v>3719.3128125000003</v>
      </c>
      <c r="V19" s="19">
        <f t="shared" ref="V19" si="99">($V$7/H19)*I19</f>
        <v>461.44583333333333</v>
      </c>
      <c r="W19" s="19">
        <f t="shared" ref="W19" si="100">($W$7/H19)*I19</f>
        <v>135.90281250000001</v>
      </c>
      <c r="X19" s="19">
        <f t="shared" ref="X19" si="101">($X$7/H19*I19)</f>
        <v>87.5</v>
      </c>
      <c r="Y19" s="19">
        <f t="shared" si="30"/>
        <v>20</v>
      </c>
      <c r="Z19" s="19">
        <f t="shared" ref="Z19" si="102">N19+R19+V19+W19+X19+Y19</f>
        <v>4886.4736458333336</v>
      </c>
      <c r="AA19" s="19">
        <f t="shared" ref="AA19" si="103">Z19*8%</f>
        <v>390.91789166666672</v>
      </c>
      <c r="AB19" s="19">
        <f t="shared" ref="AB19" si="104">Z19+AA19</f>
        <v>5277.3915375000006</v>
      </c>
    </row>
    <row r="20" spans="1:28" x14ac:dyDescent="0.2">
      <c r="A20" s="21">
        <v>16</v>
      </c>
      <c r="B20" s="35"/>
      <c r="C20" s="31" t="s">
        <v>68</v>
      </c>
      <c r="D20" s="2" t="s">
        <v>22</v>
      </c>
      <c r="E20" s="15">
        <v>102289582159</v>
      </c>
      <c r="F20" s="15" t="e">
        <v>#N/A</v>
      </c>
      <c r="G20" s="16">
        <v>46054</v>
      </c>
      <c r="H20" s="17">
        <v>24</v>
      </c>
      <c r="I20" s="17">
        <v>22</v>
      </c>
      <c r="J20" s="19">
        <f t="shared" si="18"/>
        <v>11155.833333333332</v>
      </c>
      <c r="K20" s="19">
        <f t="shared" si="19"/>
        <v>91.666666666666671</v>
      </c>
      <c r="L20" s="19">
        <f t="shared" si="20"/>
        <v>965.25</v>
      </c>
      <c r="M20" s="19">
        <f t="shared" si="21"/>
        <v>929.5</v>
      </c>
      <c r="N20" s="19">
        <f t="shared" si="22"/>
        <v>13142.25</v>
      </c>
      <c r="O20" s="19">
        <f t="shared" si="23"/>
        <v>1338.6999999999998</v>
      </c>
      <c r="P20" s="19">
        <f t="shared" si="24"/>
        <v>98.566874999999982</v>
      </c>
      <c r="Q20" s="19">
        <f t="shared" si="25"/>
        <v>5</v>
      </c>
      <c r="R20" s="19"/>
      <c r="S20" s="19">
        <f t="shared" si="26"/>
        <v>11699.983124999999</v>
      </c>
      <c r="T20" s="18"/>
      <c r="U20" s="19">
        <f t="shared" si="16"/>
        <v>11699.983124999999</v>
      </c>
      <c r="V20" s="19">
        <f t="shared" si="27"/>
        <v>1450.2583333333334</v>
      </c>
      <c r="W20" s="19">
        <f t="shared" si="28"/>
        <v>427.12312500000007</v>
      </c>
      <c r="X20" s="19">
        <f t="shared" si="29"/>
        <v>275</v>
      </c>
      <c r="Y20" s="19">
        <f t="shared" si="30"/>
        <v>20</v>
      </c>
      <c r="Z20" s="19">
        <f t="shared" si="31"/>
        <v>15314.631458333333</v>
      </c>
      <c r="AA20" s="19">
        <f t="shared" si="17"/>
        <v>1225.1705166666668</v>
      </c>
      <c r="AB20" s="19">
        <f t="shared" si="32"/>
        <v>16539.801974999998</v>
      </c>
    </row>
    <row r="21" spans="1:28" x14ac:dyDescent="0.2">
      <c r="A21" s="24">
        <v>17</v>
      </c>
      <c r="B21" s="31" t="s">
        <v>97</v>
      </c>
      <c r="C21" s="31" t="s">
        <v>98</v>
      </c>
      <c r="D21" s="2" t="s">
        <v>22</v>
      </c>
      <c r="E21" s="15"/>
      <c r="F21" s="15" t="e">
        <v>#N/A</v>
      </c>
      <c r="G21" s="16">
        <v>46054</v>
      </c>
      <c r="H21" s="17">
        <v>24</v>
      </c>
      <c r="I21" s="17">
        <v>20</v>
      </c>
      <c r="J21" s="19">
        <f t="shared" ref="J21" si="105">($J$7/H21)*I21</f>
        <v>10141.666666666666</v>
      </c>
      <c r="K21" s="19">
        <f t="shared" ref="K21" si="106">($K$7/H21)*I21</f>
        <v>83.333333333333343</v>
      </c>
      <c r="L21" s="19">
        <f t="shared" ref="L21" si="107">($L$7/H21)*I21</f>
        <v>877.5</v>
      </c>
      <c r="M21" s="19">
        <f t="shared" ref="M21" si="108">($M$7/H21)*I21</f>
        <v>845</v>
      </c>
      <c r="N21" s="19">
        <f t="shared" ref="N21" si="109">($N$7/H21)*I21</f>
        <v>11947.5</v>
      </c>
      <c r="O21" s="19">
        <f t="shared" ref="O21" si="110">($O$7/H21)*I21</f>
        <v>1217</v>
      </c>
      <c r="P21" s="19">
        <f t="shared" ref="P21" si="111">($P$7/H21)*I21</f>
        <v>89.606249999999989</v>
      </c>
      <c r="Q21" s="19">
        <f t="shared" si="25"/>
        <v>5</v>
      </c>
      <c r="R21" s="19"/>
      <c r="S21" s="19">
        <f t="shared" ref="S21" si="112">N21-O21-P21-Q21+R21</f>
        <v>10635.893749999999</v>
      </c>
      <c r="T21" s="18"/>
      <c r="U21" s="19">
        <f t="shared" ref="U21" si="113">S21-T21</f>
        <v>10635.893749999999</v>
      </c>
      <c r="V21" s="19">
        <f t="shared" ref="V21" si="114">($V$7/H21)*I21</f>
        <v>1318.4166666666667</v>
      </c>
      <c r="W21" s="19">
        <f t="shared" ref="W21" si="115">($W$7/H21)*I21</f>
        <v>388.29375000000005</v>
      </c>
      <c r="X21" s="19">
        <f t="shared" ref="X21" si="116">($X$7/H21*I21)</f>
        <v>250</v>
      </c>
      <c r="Y21" s="19">
        <f t="shared" si="30"/>
        <v>20</v>
      </c>
      <c r="Z21" s="19">
        <f t="shared" ref="Z21" si="117">N21+R21+V21+W21+X21+Y21</f>
        <v>13924.210416666667</v>
      </c>
      <c r="AA21" s="19">
        <f t="shared" ref="AA21" si="118">Z21*8%</f>
        <v>1113.9368333333334</v>
      </c>
      <c r="AB21" s="19">
        <f t="shared" ref="AB21" si="119">Z21+AA21</f>
        <v>15038.14725</v>
      </c>
    </row>
    <row r="22" spans="1:28" x14ac:dyDescent="0.2">
      <c r="A22" s="21">
        <v>18</v>
      </c>
      <c r="B22" s="34" t="s">
        <v>56</v>
      </c>
      <c r="C22" s="31" t="s">
        <v>43</v>
      </c>
      <c r="D22" s="2" t="s">
        <v>22</v>
      </c>
      <c r="E22" s="15">
        <v>101580349474</v>
      </c>
      <c r="F22" s="15">
        <v>1015029170</v>
      </c>
      <c r="G22" s="16">
        <v>46054</v>
      </c>
      <c r="H22" s="17">
        <v>24</v>
      </c>
      <c r="I22" s="17">
        <v>24</v>
      </c>
      <c r="J22" s="19">
        <f t="shared" ref="J22" si="120">($J$7/H22)*I22</f>
        <v>12170</v>
      </c>
      <c r="K22" s="19">
        <f t="shared" si="19"/>
        <v>100</v>
      </c>
      <c r="L22" s="19">
        <f t="shared" si="20"/>
        <v>1053</v>
      </c>
      <c r="M22" s="19">
        <f t="shared" si="21"/>
        <v>1014</v>
      </c>
      <c r="N22" s="19">
        <f t="shared" si="22"/>
        <v>14337</v>
      </c>
      <c r="O22" s="19">
        <f t="shared" si="23"/>
        <v>1460.3999999999999</v>
      </c>
      <c r="P22" s="19">
        <f t="shared" si="24"/>
        <v>107.52749999999997</v>
      </c>
      <c r="Q22" s="19">
        <f t="shared" si="25"/>
        <v>5</v>
      </c>
      <c r="R22" s="18">
        <v>2000</v>
      </c>
      <c r="S22" s="19">
        <f t="shared" ref="S22" si="121">N22-O22-P22-Q22+R22</f>
        <v>14764.0725</v>
      </c>
      <c r="T22" s="18"/>
      <c r="U22" s="19">
        <f t="shared" ref="U22" si="122">S22-T22</f>
        <v>14764.0725</v>
      </c>
      <c r="V22" s="19">
        <f t="shared" si="27"/>
        <v>1582.1</v>
      </c>
      <c r="W22" s="19">
        <f t="shared" si="28"/>
        <v>465.9525000000001</v>
      </c>
      <c r="X22" s="19">
        <f t="shared" si="29"/>
        <v>300</v>
      </c>
      <c r="Y22" s="19">
        <f t="shared" si="30"/>
        <v>20</v>
      </c>
      <c r="Z22" s="19">
        <f t="shared" ref="Z22" si="123">N22+R22+V22+W22+X22+Y22</f>
        <v>18705.052499999998</v>
      </c>
      <c r="AA22" s="19">
        <f t="shared" ref="AA22" si="124">Z22*8%</f>
        <v>1496.4041999999999</v>
      </c>
      <c r="AB22" s="19">
        <f t="shared" ref="AB22" si="125">Z22+AA22</f>
        <v>20201.456699999999</v>
      </c>
    </row>
    <row r="23" spans="1:28" x14ac:dyDescent="0.2">
      <c r="A23" s="24">
        <v>19</v>
      </c>
      <c r="B23" s="33" t="s">
        <v>69</v>
      </c>
      <c r="C23" s="39" t="s">
        <v>70</v>
      </c>
      <c r="D23" s="2" t="s">
        <v>22</v>
      </c>
      <c r="E23" s="15">
        <v>102061381252</v>
      </c>
      <c r="F23" s="15">
        <v>1015035300</v>
      </c>
      <c r="G23" s="16">
        <v>46054</v>
      </c>
      <c r="H23" s="17">
        <v>24</v>
      </c>
      <c r="I23" s="17">
        <v>23</v>
      </c>
      <c r="J23" s="19">
        <f t="shared" ref="J23" si="126">($J$7/H23)*I23</f>
        <v>11662.916666666666</v>
      </c>
      <c r="K23" s="19">
        <f t="shared" si="19"/>
        <v>95.833333333333343</v>
      </c>
      <c r="L23" s="19">
        <f t="shared" si="20"/>
        <v>1009.125</v>
      </c>
      <c r="M23" s="19">
        <f t="shared" si="21"/>
        <v>971.75</v>
      </c>
      <c r="N23" s="19">
        <f t="shared" si="22"/>
        <v>13739.625</v>
      </c>
      <c r="O23" s="19">
        <f t="shared" si="23"/>
        <v>1399.55</v>
      </c>
      <c r="P23" s="19">
        <f t="shared" si="24"/>
        <v>103.04718749999998</v>
      </c>
      <c r="Q23" s="19">
        <f t="shared" si="25"/>
        <v>5</v>
      </c>
      <c r="R23" s="18"/>
      <c r="S23" s="19">
        <f t="shared" ref="S23" si="127">N23-O23-P23-Q23+R23</f>
        <v>12232.0278125</v>
      </c>
      <c r="T23" s="18"/>
      <c r="U23" s="19">
        <f t="shared" ref="U23" si="128">S23-T23</f>
        <v>12232.0278125</v>
      </c>
      <c r="V23" s="19">
        <f t="shared" si="27"/>
        <v>1516.1791666666668</v>
      </c>
      <c r="W23" s="19">
        <f t="shared" si="28"/>
        <v>446.53781250000009</v>
      </c>
      <c r="X23" s="19">
        <f t="shared" si="29"/>
        <v>287.5</v>
      </c>
      <c r="Y23" s="19">
        <f t="shared" si="30"/>
        <v>20</v>
      </c>
      <c r="Z23" s="19">
        <f t="shared" ref="Z23" si="129">N23+R23+V23+W23+X23+Y23</f>
        <v>16009.841979166667</v>
      </c>
      <c r="AA23" s="19">
        <f t="shared" ref="AA23" si="130">Z23*8%</f>
        <v>1280.7873583333335</v>
      </c>
      <c r="AB23" s="19">
        <f t="shared" si="32"/>
        <v>17290.629337500002</v>
      </c>
    </row>
    <row r="24" spans="1:28" x14ac:dyDescent="0.2">
      <c r="A24" s="21">
        <v>20</v>
      </c>
      <c r="B24" s="35" t="s">
        <v>29</v>
      </c>
      <c r="C24" s="31" t="s">
        <v>44</v>
      </c>
      <c r="D24" s="2" t="s">
        <v>22</v>
      </c>
      <c r="E24" s="15">
        <v>102248043562</v>
      </c>
      <c r="F24" s="15">
        <v>1015033233</v>
      </c>
      <c r="G24" s="16">
        <v>46054</v>
      </c>
      <c r="H24" s="17">
        <v>24</v>
      </c>
      <c r="I24" s="17">
        <v>24</v>
      </c>
      <c r="J24" s="19">
        <f t="shared" ref="J24" si="131">($J$7/H24)*I24</f>
        <v>12170</v>
      </c>
      <c r="K24" s="19">
        <f t="shared" si="19"/>
        <v>100</v>
      </c>
      <c r="L24" s="19">
        <f t="shared" si="20"/>
        <v>1053</v>
      </c>
      <c r="M24" s="19">
        <f t="shared" si="21"/>
        <v>1014</v>
      </c>
      <c r="N24" s="19">
        <f t="shared" si="22"/>
        <v>14337</v>
      </c>
      <c r="O24" s="19">
        <f t="shared" si="23"/>
        <v>1460.3999999999999</v>
      </c>
      <c r="P24" s="19">
        <f t="shared" si="24"/>
        <v>107.52749999999997</v>
      </c>
      <c r="Q24" s="19">
        <f t="shared" si="25"/>
        <v>5</v>
      </c>
      <c r="R24" s="18">
        <v>2000</v>
      </c>
      <c r="S24" s="19">
        <f t="shared" ref="S24" si="132">N24-O24-P24-Q24+R24</f>
        <v>14764.0725</v>
      </c>
      <c r="T24" s="18"/>
      <c r="U24" s="19">
        <f t="shared" ref="U24" si="133">S24-T24</f>
        <v>14764.0725</v>
      </c>
      <c r="V24" s="19">
        <f t="shared" si="27"/>
        <v>1582.1</v>
      </c>
      <c r="W24" s="19">
        <f t="shared" si="28"/>
        <v>465.9525000000001</v>
      </c>
      <c r="X24" s="19">
        <f t="shared" si="29"/>
        <v>300</v>
      </c>
      <c r="Y24" s="19">
        <f t="shared" si="30"/>
        <v>20</v>
      </c>
      <c r="Z24" s="19">
        <f t="shared" ref="Z24" si="134">N24+R24+V24+W24+X24+Y24</f>
        <v>18705.052499999998</v>
      </c>
      <c r="AA24" s="19">
        <f t="shared" ref="AA24" si="135">Z24*8%</f>
        <v>1496.4041999999999</v>
      </c>
      <c r="AB24" s="19">
        <f t="shared" si="32"/>
        <v>20201.456699999999</v>
      </c>
    </row>
    <row r="25" spans="1:28" x14ac:dyDescent="0.2">
      <c r="A25" s="24">
        <v>21</v>
      </c>
      <c r="B25" s="34" t="s">
        <v>32</v>
      </c>
      <c r="C25" s="40" t="s">
        <v>47</v>
      </c>
      <c r="D25" s="2" t="s">
        <v>22</v>
      </c>
      <c r="E25" s="15">
        <v>101508681334</v>
      </c>
      <c r="F25" s="15">
        <v>1015033238</v>
      </c>
      <c r="G25" s="16">
        <v>46054</v>
      </c>
      <c r="H25" s="17">
        <v>24</v>
      </c>
      <c r="I25" s="17">
        <v>24</v>
      </c>
      <c r="J25" s="19">
        <f t="shared" ref="J25:J32" si="136">($J$7/H25)*I25</f>
        <v>12170</v>
      </c>
      <c r="K25" s="19">
        <f t="shared" si="19"/>
        <v>100</v>
      </c>
      <c r="L25" s="19">
        <f t="shared" si="20"/>
        <v>1053</v>
      </c>
      <c r="M25" s="19">
        <f t="shared" si="21"/>
        <v>1014</v>
      </c>
      <c r="N25" s="19">
        <f t="shared" si="22"/>
        <v>14337</v>
      </c>
      <c r="O25" s="19">
        <f t="shared" si="23"/>
        <v>1460.3999999999999</v>
      </c>
      <c r="P25" s="19">
        <f t="shared" si="24"/>
        <v>107.52749999999997</v>
      </c>
      <c r="Q25" s="19">
        <f t="shared" si="25"/>
        <v>5</v>
      </c>
      <c r="R25" s="18">
        <v>2000</v>
      </c>
      <c r="S25" s="19">
        <f t="shared" si="26"/>
        <v>14764.0725</v>
      </c>
      <c r="T25" s="18"/>
      <c r="U25" s="19">
        <f t="shared" si="16"/>
        <v>14764.0725</v>
      </c>
      <c r="V25" s="19">
        <f t="shared" si="27"/>
        <v>1582.1</v>
      </c>
      <c r="W25" s="19">
        <f t="shared" si="28"/>
        <v>465.9525000000001</v>
      </c>
      <c r="X25" s="19">
        <f t="shared" si="29"/>
        <v>300</v>
      </c>
      <c r="Y25" s="19">
        <f t="shared" si="30"/>
        <v>20</v>
      </c>
      <c r="Z25" s="19">
        <f t="shared" si="31"/>
        <v>18705.052499999998</v>
      </c>
      <c r="AA25" s="19">
        <f t="shared" si="17"/>
        <v>1496.4041999999999</v>
      </c>
      <c r="AB25" s="19">
        <f t="shared" si="32"/>
        <v>20201.456699999999</v>
      </c>
    </row>
    <row r="26" spans="1:28" x14ac:dyDescent="0.2">
      <c r="A26" s="21">
        <v>22</v>
      </c>
      <c r="B26" s="33" t="s">
        <v>33</v>
      </c>
      <c r="C26" s="40" t="s">
        <v>48</v>
      </c>
      <c r="D26" s="2" t="s">
        <v>22</v>
      </c>
      <c r="E26" s="15">
        <v>102251479950</v>
      </c>
      <c r="F26" s="15">
        <v>1015038333</v>
      </c>
      <c r="G26" s="16">
        <v>46054</v>
      </c>
      <c r="H26" s="17">
        <v>24</v>
      </c>
      <c r="I26" s="17">
        <v>24</v>
      </c>
      <c r="J26" s="19">
        <f t="shared" si="136"/>
        <v>12170</v>
      </c>
      <c r="K26" s="19">
        <f t="shared" si="19"/>
        <v>100</v>
      </c>
      <c r="L26" s="19">
        <f t="shared" si="20"/>
        <v>1053</v>
      </c>
      <c r="M26" s="19">
        <f t="shared" si="21"/>
        <v>1014</v>
      </c>
      <c r="N26" s="19">
        <f t="shared" si="22"/>
        <v>14337</v>
      </c>
      <c r="O26" s="19">
        <f t="shared" si="23"/>
        <v>1460.3999999999999</v>
      </c>
      <c r="P26" s="19">
        <f t="shared" si="24"/>
        <v>107.52749999999997</v>
      </c>
      <c r="Q26" s="19">
        <f t="shared" si="25"/>
        <v>5</v>
      </c>
      <c r="R26" s="18">
        <v>2000</v>
      </c>
      <c r="S26" s="19">
        <f t="shared" ref="S26" si="137">N26-O26-P26-Q26+R26</f>
        <v>14764.0725</v>
      </c>
      <c r="T26" s="18"/>
      <c r="U26" s="19">
        <f t="shared" ref="U26" si="138">S26-T26</f>
        <v>14764.0725</v>
      </c>
      <c r="V26" s="19">
        <f t="shared" si="27"/>
        <v>1582.1</v>
      </c>
      <c r="W26" s="19">
        <f t="shared" si="28"/>
        <v>465.9525000000001</v>
      </c>
      <c r="X26" s="19">
        <f t="shared" si="29"/>
        <v>300</v>
      </c>
      <c r="Y26" s="19">
        <f t="shared" si="30"/>
        <v>20</v>
      </c>
      <c r="Z26" s="19">
        <f t="shared" ref="Z26" si="139">N26+R26+V26+W26+X26+Y26</f>
        <v>18705.052499999998</v>
      </c>
      <c r="AA26" s="19">
        <f t="shared" ref="AA26" si="140">Z26*8%</f>
        <v>1496.4041999999999</v>
      </c>
      <c r="AB26" s="19">
        <f t="shared" si="32"/>
        <v>20201.456699999999</v>
      </c>
    </row>
    <row r="27" spans="1:28" x14ac:dyDescent="0.2">
      <c r="A27" s="24">
        <v>23</v>
      </c>
      <c r="B27" s="36" t="s">
        <v>71</v>
      </c>
      <c r="C27" s="41" t="s">
        <v>72</v>
      </c>
      <c r="D27" s="2" t="s">
        <v>22</v>
      </c>
      <c r="E27" s="15">
        <v>101968431567</v>
      </c>
      <c r="F27" s="15">
        <v>6936074975</v>
      </c>
      <c r="G27" s="16">
        <v>46054</v>
      </c>
      <c r="H27" s="17">
        <v>24</v>
      </c>
      <c r="I27" s="17">
        <v>23</v>
      </c>
      <c r="J27" s="19">
        <f t="shared" si="136"/>
        <v>11662.916666666666</v>
      </c>
      <c r="K27" s="19">
        <f t="shared" si="19"/>
        <v>95.833333333333343</v>
      </c>
      <c r="L27" s="19">
        <f t="shared" si="20"/>
        <v>1009.125</v>
      </c>
      <c r="M27" s="19">
        <f t="shared" si="21"/>
        <v>971.75</v>
      </c>
      <c r="N27" s="19">
        <f t="shared" si="22"/>
        <v>13739.625</v>
      </c>
      <c r="O27" s="19">
        <f t="shared" si="23"/>
        <v>1399.55</v>
      </c>
      <c r="P27" s="19">
        <f t="shared" si="24"/>
        <v>103.04718749999998</v>
      </c>
      <c r="Q27" s="19">
        <f t="shared" si="25"/>
        <v>5</v>
      </c>
      <c r="R27" s="19"/>
      <c r="S27" s="19">
        <f t="shared" ref="S27" si="141">N27-O27-P27-Q27+R27</f>
        <v>12232.0278125</v>
      </c>
      <c r="T27" s="18">
        <v>5000</v>
      </c>
      <c r="U27" s="19">
        <f t="shared" ref="U27" si="142">S27-T27</f>
        <v>7232.0278125000004</v>
      </c>
      <c r="V27" s="19">
        <f t="shared" si="27"/>
        <v>1516.1791666666668</v>
      </c>
      <c r="W27" s="19">
        <f t="shared" si="28"/>
        <v>446.53781250000009</v>
      </c>
      <c r="X27" s="19">
        <f t="shared" si="29"/>
        <v>287.5</v>
      </c>
      <c r="Y27" s="19">
        <f t="shared" si="30"/>
        <v>20</v>
      </c>
      <c r="Z27" s="19">
        <f t="shared" ref="Z27" si="143">N27+R27+V27+W27+X27+Y27</f>
        <v>16009.841979166667</v>
      </c>
      <c r="AA27" s="19">
        <f t="shared" ref="AA27" si="144">Z27*8%</f>
        <v>1280.7873583333335</v>
      </c>
      <c r="AB27" s="19">
        <f t="shared" si="32"/>
        <v>17290.629337500002</v>
      </c>
    </row>
    <row r="28" spans="1:28" x14ac:dyDescent="0.2">
      <c r="A28" s="21">
        <v>24</v>
      </c>
      <c r="B28" s="35" t="s">
        <v>73</v>
      </c>
      <c r="C28" s="40" t="s">
        <v>87</v>
      </c>
      <c r="D28" s="2" t="s">
        <v>22</v>
      </c>
      <c r="E28" s="15">
        <v>102212725725</v>
      </c>
      <c r="F28" s="15">
        <v>1015043527</v>
      </c>
      <c r="G28" s="16">
        <v>46054</v>
      </c>
      <c r="H28" s="17">
        <v>24</v>
      </c>
      <c r="I28" s="17">
        <v>24</v>
      </c>
      <c r="J28" s="19">
        <f>($J$7/H28)*I28</f>
        <v>12170</v>
      </c>
      <c r="K28" s="19">
        <f>($K$7/H28)*I28</f>
        <v>100</v>
      </c>
      <c r="L28" s="19">
        <f>($L$7/H28)*I28</f>
        <v>1053</v>
      </c>
      <c r="M28" s="19">
        <f>($M$7/H28)*I28</f>
        <v>1014</v>
      </c>
      <c r="N28" s="19">
        <f>($N$7/H28)*I28</f>
        <v>14337</v>
      </c>
      <c r="O28" s="19">
        <f>($O$7/H28)*I28</f>
        <v>1460.3999999999999</v>
      </c>
      <c r="P28" s="19">
        <f>($P$7/H28)*I28</f>
        <v>107.52749999999997</v>
      </c>
      <c r="Q28" s="19">
        <f t="shared" si="25"/>
        <v>5</v>
      </c>
      <c r="R28" s="18">
        <v>2000</v>
      </c>
      <c r="S28" s="19">
        <f>N28-O28-P28-Q28+R28</f>
        <v>14764.0725</v>
      </c>
      <c r="T28" s="18"/>
      <c r="U28" s="19">
        <f>S28-T28</f>
        <v>14764.0725</v>
      </c>
      <c r="V28" s="19">
        <f>($V$7/H28)*I28</f>
        <v>1582.1</v>
      </c>
      <c r="W28" s="19">
        <f>($W$7/H28)*I28</f>
        <v>465.9525000000001</v>
      </c>
      <c r="X28" s="19">
        <f>($X$7/H28*I28)</f>
        <v>300</v>
      </c>
      <c r="Y28" s="19">
        <f t="shared" si="30"/>
        <v>20</v>
      </c>
      <c r="Z28" s="19">
        <f>N28+R28+V28+W28+X28+Y28</f>
        <v>18705.052499999998</v>
      </c>
      <c r="AA28" s="19">
        <f>Z28*8%</f>
        <v>1496.4041999999999</v>
      </c>
      <c r="AB28" s="19">
        <f>Z28+AA28</f>
        <v>20201.456699999999</v>
      </c>
    </row>
    <row r="29" spans="1:28" x14ac:dyDescent="0.2">
      <c r="A29" s="24">
        <v>25</v>
      </c>
      <c r="B29" s="35" t="s">
        <v>74</v>
      </c>
      <c r="C29" s="40" t="s">
        <v>86</v>
      </c>
      <c r="D29" s="2" t="s">
        <v>22</v>
      </c>
      <c r="E29" s="15">
        <v>102064163606</v>
      </c>
      <c r="F29" s="15">
        <v>1015044635</v>
      </c>
      <c r="G29" s="16">
        <v>46054</v>
      </c>
      <c r="H29" s="17">
        <v>24</v>
      </c>
      <c r="I29" s="17">
        <v>24</v>
      </c>
      <c r="J29" s="19">
        <f t="shared" si="136"/>
        <v>12170</v>
      </c>
      <c r="K29" s="19">
        <f t="shared" si="19"/>
        <v>100</v>
      </c>
      <c r="L29" s="19">
        <f t="shared" si="20"/>
        <v>1053</v>
      </c>
      <c r="M29" s="19">
        <f t="shared" si="21"/>
        <v>1014</v>
      </c>
      <c r="N29" s="19">
        <f t="shared" si="22"/>
        <v>14337</v>
      </c>
      <c r="O29" s="19">
        <f t="shared" si="23"/>
        <v>1460.3999999999999</v>
      </c>
      <c r="P29" s="19">
        <f t="shared" si="24"/>
        <v>107.52749999999997</v>
      </c>
      <c r="Q29" s="19">
        <f t="shared" si="25"/>
        <v>5</v>
      </c>
      <c r="R29" s="18">
        <v>2000</v>
      </c>
      <c r="S29" s="19">
        <f t="shared" ref="S29" si="145">N29-O29-P29-Q29+R29</f>
        <v>14764.0725</v>
      </c>
      <c r="T29" s="18"/>
      <c r="U29" s="19">
        <f t="shared" ref="U29" si="146">S29-T29</f>
        <v>14764.0725</v>
      </c>
      <c r="V29" s="19">
        <f t="shared" si="27"/>
        <v>1582.1</v>
      </c>
      <c r="W29" s="19">
        <f t="shared" si="28"/>
        <v>465.9525000000001</v>
      </c>
      <c r="X29" s="19">
        <f t="shared" si="29"/>
        <v>300</v>
      </c>
      <c r="Y29" s="19">
        <f t="shared" si="30"/>
        <v>20</v>
      </c>
      <c r="Z29" s="19">
        <f t="shared" ref="Z29" si="147">N29+R29+V29+W29+X29+Y29</f>
        <v>18705.052499999998</v>
      </c>
      <c r="AA29" s="19">
        <f t="shared" ref="AA29" si="148">Z29*8%</f>
        <v>1496.4041999999999</v>
      </c>
      <c r="AB29" s="19">
        <f t="shared" si="32"/>
        <v>20201.456699999999</v>
      </c>
    </row>
    <row r="30" spans="1:28" x14ac:dyDescent="0.2">
      <c r="A30" s="21">
        <v>26</v>
      </c>
      <c r="B30" s="35" t="s">
        <v>75</v>
      </c>
      <c r="C30" s="40" t="s">
        <v>76</v>
      </c>
      <c r="D30" s="2" t="s">
        <v>22</v>
      </c>
      <c r="E30" s="15">
        <v>101178351401</v>
      </c>
      <c r="F30" s="15">
        <v>1713847983</v>
      </c>
      <c r="G30" s="16">
        <v>46054</v>
      </c>
      <c r="H30" s="17">
        <v>24</v>
      </c>
      <c r="I30" s="17">
        <v>24</v>
      </c>
      <c r="J30" s="19">
        <f t="shared" si="136"/>
        <v>12170</v>
      </c>
      <c r="K30" s="19">
        <f t="shared" si="19"/>
        <v>100</v>
      </c>
      <c r="L30" s="19">
        <f t="shared" si="20"/>
        <v>1053</v>
      </c>
      <c r="M30" s="19">
        <f t="shared" si="21"/>
        <v>1014</v>
      </c>
      <c r="N30" s="19">
        <f t="shared" si="22"/>
        <v>14337</v>
      </c>
      <c r="O30" s="19">
        <f t="shared" si="23"/>
        <v>1460.3999999999999</v>
      </c>
      <c r="P30" s="19">
        <f t="shared" si="24"/>
        <v>107.52749999999997</v>
      </c>
      <c r="Q30" s="19">
        <f t="shared" si="25"/>
        <v>5</v>
      </c>
      <c r="R30" s="18">
        <v>2000</v>
      </c>
      <c r="S30" s="19">
        <f t="shared" ref="S30" si="149">N30-O30-P30-Q30+R30</f>
        <v>14764.0725</v>
      </c>
      <c r="T30" s="18"/>
      <c r="U30" s="19">
        <f t="shared" ref="U30" si="150">S30-T30</f>
        <v>14764.0725</v>
      </c>
      <c r="V30" s="19">
        <f t="shared" si="27"/>
        <v>1582.1</v>
      </c>
      <c r="W30" s="19">
        <f t="shared" si="28"/>
        <v>465.9525000000001</v>
      </c>
      <c r="X30" s="19">
        <f t="shared" si="29"/>
        <v>300</v>
      </c>
      <c r="Y30" s="19">
        <f t="shared" si="30"/>
        <v>20</v>
      </c>
      <c r="Z30" s="19">
        <f t="shared" ref="Z30" si="151">N30+R30+V30+W30+X30+Y30</f>
        <v>18705.052499999998</v>
      </c>
      <c r="AA30" s="19">
        <f t="shared" ref="AA30" si="152">Z30*8%</f>
        <v>1496.4041999999999</v>
      </c>
      <c r="AB30" s="19">
        <f t="shared" si="32"/>
        <v>20201.456699999999</v>
      </c>
    </row>
    <row r="31" spans="1:28" x14ac:dyDescent="0.2">
      <c r="A31" s="21">
        <v>27</v>
      </c>
      <c r="B31" s="36" t="s">
        <v>91</v>
      </c>
      <c r="C31" s="40" t="s">
        <v>77</v>
      </c>
      <c r="D31" s="2" t="s">
        <v>22</v>
      </c>
      <c r="E31" s="15" t="e">
        <v>#N/A</v>
      </c>
      <c r="F31" s="15" t="e">
        <v>#N/A</v>
      </c>
      <c r="G31" s="16">
        <v>46054</v>
      </c>
      <c r="H31" s="17">
        <v>24</v>
      </c>
      <c r="I31" s="17">
        <v>24</v>
      </c>
      <c r="J31" s="19">
        <f t="shared" si="136"/>
        <v>12170</v>
      </c>
      <c r="K31" s="19">
        <f t="shared" si="19"/>
        <v>100</v>
      </c>
      <c r="L31" s="19">
        <f t="shared" si="20"/>
        <v>1053</v>
      </c>
      <c r="M31" s="19">
        <f t="shared" si="21"/>
        <v>1014</v>
      </c>
      <c r="N31" s="19">
        <f t="shared" si="22"/>
        <v>14337</v>
      </c>
      <c r="O31" s="19">
        <f t="shared" si="23"/>
        <v>1460.3999999999999</v>
      </c>
      <c r="P31" s="19">
        <f t="shared" si="24"/>
        <v>107.52749999999997</v>
      </c>
      <c r="Q31" s="19">
        <f t="shared" si="25"/>
        <v>5</v>
      </c>
      <c r="R31" s="18">
        <v>2000</v>
      </c>
      <c r="S31" s="19">
        <f t="shared" ref="S31" si="153">N31-O31-P31-Q31+R31</f>
        <v>14764.0725</v>
      </c>
      <c r="T31" s="18">
        <v>3000</v>
      </c>
      <c r="U31" s="19">
        <f t="shared" ref="U31" si="154">S31-T31</f>
        <v>11764.0725</v>
      </c>
      <c r="V31" s="19">
        <f t="shared" si="27"/>
        <v>1582.1</v>
      </c>
      <c r="W31" s="19">
        <f t="shared" si="28"/>
        <v>465.9525000000001</v>
      </c>
      <c r="X31" s="19">
        <f t="shared" si="29"/>
        <v>300</v>
      </c>
      <c r="Y31" s="19">
        <f t="shared" si="30"/>
        <v>20</v>
      </c>
      <c r="Z31" s="19">
        <f t="shared" ref="Z31" si="155">N31+R31+V31+W31+X31+Y31</f>
        <v>18705.052499999998</v>
      </c>
      <c r="AA31" s="19">
        <f t="shared" ref="AA31" si="156">Z31*8%</f>
        <v>1496.4041999999999</v>
      </c>
      <c r="AB31" s="19">
        <f t="shared" si="32"/>
        <v>20201.456699999999</v>
      </c>
    </row>
    <row r="32" spans="1:28" x14ac:dyDescent="0.2">
      <c r="A32" s="21">
        <v>28</v>
      </c>
      <c r="B32" s="36" t="s">
        <v>78</v>
      </c>
      <c r="C32" s="42" t="s">
        <v>79</v>
      </c>
      <c r="D32" s="2" t="s">
        <v>22</v>
      </c>
      <c r="E32" s="15">
        <v>102260485137</v>
      </c>
      <c r="F32" s="15">
        <v>1015058557</v>
      </c>
      <c r="G32" s="16">
        <v>46054</v>
      </c>
      <c r="H32" s="17">
        <v>24</v>
      </c>
      <c r="I32" s="17">
        <v>20</v>
      </c>
      <c r="J32" s="19">
        <f t="shared" si="136"/>
        <v>10141.666666666666</v>
      </c>
      <c r="K32" s="19">
        <f t="shared" si="19"/>
        <v>83.333333333333343</v>
      </c>
      <c r="L32" s="19">
        <f t="shared" si="20"/>
        <v>877.5</v>
      </c>
      <c r="M32" s="19">
        <f t="shared" si="21"/>
        <v>845</v>
      </c>
      <c r="N32" s="19">
        <f t="shared" si="22"/>
        <v>11947.5</v>
      </c>
      <c r="O32" s="19">
        <f t="shared" si="23"/>
        <v>1217</v>
      </c>
      <c r="P32" s="19">
        <f t="shared" si="24"/>
        <v>89.606249999999989</v>
      </c>
      <c r="Q32" s="19">
        <f t="shared" si="25"/>
        <v>5</v>
      </c>
      <c r="R32" s="18"/>
      <c r="S32" s="19">
        <f t="shared" ref="S32" si="157">N32-O32-P32-Q32+R32</f>
        <v>10635.893749999999</v>
      </c>
      <c r="T32" s="18"/>
      <c r="U32" s="19">
        <f t="shared" ref="U32" si="158">S32-T32</f>
        <v>10635.893749999999</v>
      </c>
      <c r="V32" s="19">
        <f t="shared" si="27"/>
        <v>1318.4166666666667</v>
      </c>
      <c r="W32" s="19">
        <f t="shared" si="28"/>
        <v>388.29375000000005</v>
      </c>
      <c r="X32" s="19">
        <f t="shared" si="29"/>
        <v>250</v>
      </c>
      <c r="Y32" s="19">
        <f t="shared" si="30"/>
        <v>20</v>
      </c>
      <c r="Z32" s="19">
        <f t="shared" ref="Z32" si="159">N32+R32+V32+W32+X32+Y32</f>
        <v>13924.210416666667</v>
      </c>
      <c r="AA32" s="19">
        <f t="shared" ref="AA32" si="160">Z32*8%</f>
        <v>1113.9368333333334</v>
      </c>
      <c r="AB32" s="19">
        <f t="shared" si="32"/>
        <v>15038.14725</v>
      </c>
    </row>
    <row r="33" spans="1:28" x14ac:dyDescent="0.2">
      <c r="A33" s="24">
        <v>29</v>
      </c>
      <c r="B33" s="35" t="s">
        <v>34</v>
      </c>
      <c r="C33" s="40" t="s">
        <v>50</v>
      </c>
      <c r="D33" s="2" t="s">
        <v>22</v>
      </c>
      <c r="E33" s="15">
        <v>102242812779</v>
      </c>
      <c r="F33" s="15">
        <v>1015035124</v>
      </c>
      <c r="G33" s="16">
        <v>46054</v>
      </c>
      <c r="H33" s="17">
        <v>24</v>
      </c>
      <c r="I33" s="17">
        <v>24</v>
      </c>
      <c r="J33" s="19">
        <f t="shared" ref="J33" si="161">($J$7/H33)*I33</f>
        <v>12170</v>
      </c>
      <c r="K33" s="19">
        <f t="shared" si="19"/>
        <v>100</v>
      </c>
      <c r="L33" s="19">
        <f t="shared" si="20"/>
        <v>1053</v>
      </c>
      <c r="M33" s="19">
        <f t="shared" si="21"/>
        <v>1014</v>
      </c>
      <c r="N33" s="19">
        <f t="shared" si="22"/>
        <v>14337</v>
      </c>
      <c r="O33" s="19">
        <f t="shared" si="23"/>
        <v>1460.3999999999999</v>
      </c>
      <c r="P33" s="19">
        <f t="shared" si="24"/>
        <v>107.52749999999997</v>
      </c>
      <c r="Q33" s="19">
        <f t="shared" si="25"/>
        <v>5</v>
      </c>
      <c r="R33" s="18">
        <v>2000</v>
      </c>
      <c r="S33" s="19">
        <f t="shared" ref="S33" si="162">N33-O33-P33-Q33+R33</f>
        <v>14764.0725</v>
      </c>
      <c r="T33" s="18">
        <v>5000</v>
      </c>
      <c r="U33" s="19">
        <f t="shared" ref="U33" si="163">S33-T33</f>
        <v>9764.0725000000002</v>
      </c>
      <c r="V33" s="19">
        <f t="shared" si="27"/>
        <v>1582.1</v>
      </c>
      <c r="W33" s="19">
        <f t="shared" si="28"/>
        <v>465.9525000000001</v>
      </c>
      <c r="X33" s="19">
        <f t="shared" si="29"/>
        <v>300</v>
      </c>
      <c r="Y33" s="19">
        <f t="shared" si="30"/>
        <v>20</v>
      </c>
      <c r="Z33" s="19">
        <f t="shared" ref="Z33" si="164">N33+R33+V33+W33+X33+Y33</f>
        <v>18705.052499999998</v>
      </c>
      <c r="AA33" s="19">
        <f t="shared" ref="AA33" si="165">Z33*8%</f>
        <v>1496.4041999999999</v>
      </c>
      <c r="AB33" s="19">
        <f t="shared" ref="AB33" si="166">Z33+AA33</f>
        <v>20201.456699999999</v>
      </c>
    </row>
    <row r="34" spans="1:28" x14ac:dyDescent="0.2">
      <c r="A34" s="21">
        <v>30</v>
      </c>
      <c r="B34" s="36" t="s">
        <v>91</v>
      </c>
      <c r="C34" s="40" t="s">
        <v>80</v>
      </c>
      <c r="D34" s="2" t="s">
        <v>22</v>
      </c>
      <c r="E34" s="15" t="e">
        <v>#N/A</v>
      </c>
      <c r="F34" s="15" t="e">
        <v>#N/A</v>
      </c>
      <c r="G34" s="16">
        <v>46054</v>
      </c>
      <c r="H34" s="17">
        <v>24</v>
      </c>
      <c r="I34" s="17">
        <v>24</v>
      </c>
      <c r="J34" s="19">
        <f t="shared" ref="J34" si="167">($J$7/H34)*I34</f>
        <v>12170</v>
      </c>
      <c r="K34" s="19">
        <f t="shared" si="19"/>
        <v>100</v>
      </c>
      <c r="L34" s="19">
        <f t="shared" si="20"/>
        <v>1053</v>
      </c>
      <c r="M34" s="19">
        <f t="shared" si="21"/>
        <v>1014</v>
      </c>
      <c r="N34" s="19">
        <f t="shared" si="22"/>
        <v>14337</v>
      </c>
      <c r="O34" s="19">
        <f t="shared" si="23"/>
        <v>1460.3999999999999</v>
      </c>
      <c r="P34" s="19">
        <f t="shared" si="24"/>
        <v>107.52749999999997</v>
      </c>
      <c r="Q34" s="19">
        <f t="shared" si="25"/>
        <v>5</v>
      </c>
      <c r="R34" s="18">
        <v>2000</v>
      </c>
      <c r="S34" s="19">
        <f t="shared" ref="S34" si="168">N34-O34-P34-Q34+R34</f>
        <v>14764.0725</v>
      </c>
      <c r="T34" s="18">
        <v>3000</v>
      </c>
      <c r="U34" s="19">
        <f t="shared" ref="U34" si="169">S34-T34</f>
        <v>11764.0725</v>
      </c>
      <c r="V34" s="19">
        <f t="shared" si="27"/>
        <v>1582.1</v>
      </c>
      <c r="W34" s="19">
        <f t="shared" si="28"/>
        <v>465.9525000000001</v>
      </c>
      <c r="X34" s="19">
        <f t="shared" si="29"/>
        <v>300</v>
      </c>
      <c r="Y34" s="19">
        <f t="shared" si="30"/>
        <v>20</v>
      </c>
      <c r="Z34" s="19">
        <f t="shared" ref="Z34" si="170">N34+R34+V34+W34+X34+Y34</f>
        <v>18705.052499999998</v>
      </c>
      <c r="AA34" s="19">
        <f t="shared" ref="AA34" si="171">Z34*8%</f>
        <v>1496.4041999999999</v>
      </c>
      <c r="AB34" s="19">
        <f t="shared" ref="AB34" si="172">Z34+AA34</f>
        <v>20201.456699999999</v>
      </c>
    </row>
    <row r="35" spans="1:28" x14ac:dyDescent="0.2">
      <c r="A35" s="24">
        <v>31</v>
      </c>
      <c r="B35" s="36" t="s">
        <v>35</v>
      </c>
      <c r="C35" s="40" t="s">
        <v>51</v>
      </c>
      <c r="D35" s="2" t="s">
        <v>22</v>
      </c>
      <c r="E35" s="15">
        <v>101901593791</v>
      </c>
      <c r="F35" s="15">
        <v>1015033237</v>
      </c>
      <c r="G35" s="16">
        <v>46054</v>
      </c>
      <c r="H35" s="17">
        <v>24</v>
      </c>
      <c r="I35" s="17">
        <v>24</v>
      </c>
      <c r="J35" s="19">
        <f>($J$7/H35)*I35</f>
        <v>12170</v>
      </c>
      <c r="K35" s="19">
        <f t="shared" si="19"/>
        <v>100</v>
      </c>
      <c r="L35" s="19">
        <f t="shared" si="20"/>
        <v>1053</v>
      </c>
      <c r="M35" s="19">
        <f t="shared" si="21"/>
        <v>1014</v>
      </c>
      <c r="N35" s="19">
        <f t="shared" si="22"/>
        <v>14337</v>
      </c>
      <c r="O35" s="19">
        <f t="shared" si="23"/>
        <v>1460.3999999999999</v>
      </c>
      <c r="P35" s="19">
        <f t="shared" si="24"/>
        <v>107.52749999999997</v>
      </c>
      <c r="Q35" s="19">
        <f t="shared" si="25"/>
        <v>5</v>
      </c>
      <c r="R35" s="18">
        <v>2000</v>
      </c>
      <c r="S35" s="19">
        <f>N35-O35-P35-Q35+R35</f>
        <v>14764.0725</v>
      </c>
      <c r="T35" s="18"/>
      <c r="U35" s="19">
        <f>S35-T35</f>
        <v>14764.0725</v>
      </c>
      <c r="V35" s="19">
        <f t="shared" si="27"/>
        <v>1582.1</v>
      </c>
      <c r="W35" s="19">
        <f t="shared" si="28"/>
        <v>465.9525000000001</v>
      </c>
      <c r="X35" s="19">
        <f t="shared" si="29"/>
        <v>300</v>
      </c>
      <c r="Y35" s="19">
        <f t="shared" si="30"/>
        <v>20</v>
      </c>
      <c r="Z35" s="19">
        <f>N35+R35+V35+W35+X35+Y35</f>
        <v>18705.052499999998</v>
      </c>
      <c r="AA35" s="19">
        <f>Z35*8%</f>
        <v>1496.4041999999999</v>
      </c>
      <c r="AB35" s="19">
        <f t="shared" si="32"/>
        <v>20201.456699999999</v>
      </c>
    </row>
    <row r="36" spans="1:28" x14ac:dyDescent="0.2">
      <c r="A36" s="21">
        <v>32</v>
      </c>
      <c r="B36" s="35" t="s">
        <v>36</v>
      </c>
      <c r="C36" s="40" t="s">
        <v>52</v>
      </c>
      <c r="D36" s="2" t="s">
        <v>22</v>
      </c>
      <c r="E36" s="15">
        <v>102242835206</v>
      </c>
      <c r="F36" s="15">
        <v>1015033429</v>
      </c>
      <c r="G36" s="16">
        <v>46054</v>
      </c>
      <c r="H36" s="17">
        <v>24</v>
      </c>
      <c r="I36" s="17">
        <v>24</v>
      </c>
      <c r="J36" s="19">
        <f>($J$7/H36)*I36</f>
        <v>12170</v>
      </c>
      <c r="K36" s="19">
        <f t="shared" si="19"/>
        <v>100</v>
      </c>
      <c r="L36" s="19">
        <f t="shared" si="20"/>
        <v>1053</v>
      </c>
      <c r="M36" s="19">
        <f t="shared" si="21"/>
        <v>1014</v>
      </c>
      <c r="N36" s="19">
        <f t="shared" si="22"/>
        <v>14337</v>
      </c>
      <c r="O36" s="19">
        <f t="shared" si="23"/>
        <v>1460.3999999999999</v>
      </c>
      <c r="P36" s="19">
        <f t="shared" si="24"/>
        <v>107.52749999999997</v>
      </c>
      <c r="Q36" s="19">
        <f t="shared" si="25"/>
        <v>5</v>
      </c>
      <c r="R36" s="18">
        <v>2000</v>
      </c>
      <c r="S36" s="19">
        <f t="shared" ref="S36" si="173">N36-O36-P36-Q36+R36</f>
        <v>14764.0725</v>
      </c>
      <c r="T36" s="18">
        <v>5000</v>
      </c>
      <c r="U36" s="19">
        <f t="shared" ref="U36" si="174">S36-T36</f>
        <v>9764.0725000000002</v>
      </c>
      <c r="V36" s="19">
        <f t="shared" si="27"/>
        <v>1582.1</v>
      </c>
      <c r="W36" s="19">
        <f t="shared" si="28"/>
        <v>465.9525000000001</v>
      </c>
      <c r="X36" s="19">
        <f t="shared" si="29"/>
        <v>300</v>
      </c>
      <c r="Y36" s="19">
        <f t="shared" si="30"/>
        <v>20</v>
      </c>
      <c r="Z36" s="19">
        <f t="shared" ref="Z36" si="175">N36+R36+V36+W36+X36+Y36</f>
        <v>18705.052499999998</v>
      </c>
      <c r="AA36" s="19">
        <f t="shared" ref="AA36" si="176">Z36*8%</f>
        <v>1496.4041999999999</v>
      </c>
      <c r="AB36" s="19">
        <f t="shared" si="32"/>
        <v>20201.456699999999</v>
      </c>
    </row>
    <row r="37" spans="1:28" x14ac:dyDescent="0.2">
      <c r="A37" s="24">
        <v>33</v>
      </c>
      <c r="B37" s="36" t="s">
        <v>81</v>
      </c>
      <c r="C37" s="42" t="s">
        <v>82</v>
      </c>
      <c r="D37" s="2" t="s">
        <v>22</v>
      </c>
      <c r="E37" s="15">
        <v>102245258783</v>
      </c>
      <c r="F37" s="15">
        <v>1015033428</v>
      </c>
      <c r="G37" s="16">
        <v>46054</v>
      </c>
      <c r="H37" s="17">
        <v>24</v>
      </c>
      <c r="I37" s="17">
        <v>21</v>
      </c>
      <c r="J37" s="19">
        <f>($J$7/H37)*I37</f>
        <v>10648.75</v>
      </c>
      <c r="K37" s="19">
        <f t="shared" si="19"/>
        <v>87.5</v>
      </c>
      <c r="L37" s="19">
        <f t="shared" si="20"/>
        <v>921.375</v>
      </c>
      <c r="M37" s="19">
        <f t="shared" si="21"/>
        <v>887.25</v>
      </c>
      <c r="N37" s="19">
        <f t="shared" si="22"/>
        <v>12544.875</v>
      </c>
      <c r="O37" s="19">
        <f t="shared" si="23"/>
        <v>1277.8499999999999</v>
      </c>
      <c r="P37" s="19">
        <f t="shared" si="24"/>
        <v>94.086562499999985</v>
      </c>
      <c r="Q37" s="19">
        <f t="shared" si="25"/>
        <v>5</v>
      </c>
      <c r="R37" s="18"/>
      <c r="S37" s="19">
        <f t="shared" ref="S37" si="177">N37-O37-P37-Q37+R37</f>
        <v>11167.938437499999</v>
      </c>
      <c r="T37" s="18"/>
      <c r="U37" s="19">
        <f t="shared" ref="U37" si="178">S37-T37</f>
        <v>11167.938437499999</v>
      </c>
      <c r="V37" s="19">
        <f t="shared" si="27"/>
        <v>1384.3375000000001</v>
      </c>
      <c r="W37" s="19">
        <f t="shared" si="28"/>
        <v>407.70843750000006</v>
      </c>
      <c r="X37" s="19">
        <f t="shared" si="29"/>
        <v>262.5</v>
      </c>
      <c r="Y37" s="19">
        <f t="shared" si="30"/>
        <v>20</v>
      </c>
      <c r="Z37" s="19">
        <f t="shared" ref="Z37" si="179">N37+R37+V37+W37+X37+Y37</f>
        <v>14619.420937499999</v>
      </c>
      <c r="AA37" s="19">
        <f t="shared" ref="AA37" si="180">Z37*8%</f>
        <v>1169.5536749999999</v>
      </c>
      <c r="AB37" s="19">
        <f t="shared" si="32"/>
        <v>15788.974612499998</v>
      </c>
    </row>
    <row r="38" spans="1:28" x14ac:dyDescent="0.2">
      <c r="A38" s="21">
        <v>34</v>
      </c>
      <c r="B38" s="31" t="s">
        <v>99</v>
      </c>
      <c r="C38" s="31" t="s">
        <v>100</v>
      </c>
      <c r="D38" s="2" t="s">
        <v>22</v>
      </c>
      <c r="E38" s="15"/>
      <c r="F38" s="15"/>
      <c r="G38" s="16">
        <v>46054</v>
      </c>
      <c r="H38" s="17">
        <v>24</v>
      </c>
      <c r="I38" s="17">
        <v>7</v>
      </c>
      <c r="J38" s="19">
        <f t="shared" ref="J38" si="181">($J$7/H38)*I38</f>
        <v>3549.583333333333</v>
      </c>
      <c r="K38" s="19">
        <f t="shared" si="19"/>
        <v>29.166666666666668</v>
      </c>
      <c r="L38" s="19">
        <f t="shared" si="20"/>
        <v>307.125</v>
      </c>
      <c r="M38" s="19">
        <f t="shared" si="21"/>
        <v>295.75</v>
      </c>
      <c r="N38" s="19">
        <f t="shared" si="22"/>
        <v>4181.625</v>
      </c>
      <c r="O38" s="19">
        <f t="shared" si="23"/>
        <v>425.94999999999993</v>
      </c>
      <c r="P38" s="19">
        <f t="shared" si="24"/>
        <v>31.362187499999994</v>
      </c>
      <c r="Q38" s="19">
        <f t="shared" si="25"/>
        <v>5</v>
      </c>
      <c r="R38" s="18"/>
      <c r="S38" s="19">
        <f t="shared" ref="S38" si="182">N38-O38-P38-Q38+R38</f>
        <v>3719.3128125000003</v>
      </c>
      <c r="T38" s="18"/>
      <c r="U38" s="19">
        <f t="shared" ref="U38" si="183">S38-T38</f>
        <v>3719.3128125000003</v>
      </c>
      <c r="V38" s="19">
        <f t="shared" si="27"/>
        <v>461.44583333333333</v>
      </c>
      <c r="W38" s="19">
        <f t="shared" si="28"/>
        <v>135.90281250000001</v>
      </c>
      <c r="X38" s="19">
        <f t="shared" si="29"/>
        <v>87.5</v>
      </c>
      <c r="Y38" s="19">
        <f t="shared" si="30"/>
        <v>20</v>
      </c>
      <c r="Z38" s="19">
        <f t="shared" si="31"/>
        <v>4886.4736458333336</v>
      </c>
      <c r="AA38" s="19">
        <f t="shared" si="17"/>
        <v>390.91789166666672</v>
      </c>
      <c r="AB38" s="19">
        <f t="shared" si="32"/>
        <v>5277.3915375000006</v>
      </c>
    </row>
    <row r="39" spans="1:28" ht="13.5" thickBot="1" x14ac:dyDescent="0.25">
      <c r="A39" s="24">
        <v>35</v>
      </c>
      <c r="B39" s="35" t="s">
        <v>83</v>
      </c>
      <c r="C39" s="31" t="s">
        <v>84</v>
      </c>
      <c r="D39" s="2" t="s">
        <v>22</v>
      </c>
      <c r="E39" s="15"/>
      <c r="F39" s="15"/>
      <c r="G39" s="16">
        <v>46054</v>
      </c>
      <c r="H39" s="17">
        <v>24</v>
      </c>
      <c r="I39" s="17">
        <v>24</v>
      </c>
      <c r="J39" s="19">
        <f>($J$7/H39)*I39</f>
        <v>12170</v>
      </c>
      <c r="K39" s="19">
        <f t="shared" si="19"/>
        <v>100</v>
      </c>
      <c r="L39" s="19">
        <f t="shared" si="20"/>
        <v>1053</v>
      </c>
      <c r="M39" s="19">
        <f t="shared" si="21"/>
        <v>1014</v>
      </c>
      <c r="N39" s="19">
        <f t="shared" si="22"/>
        <v>14337</v>
      </c>
      <c r="O39" s="19">
        <f t="shared" si="23"/>
        <v>1460.3999999999999</v>
      </c>
      <c r="P39" s="19">
        <f t="shared" si="24"/>
        <v>107.52749999999997</v>
      </c>
      <c r="Q39" s="19">
        <f t="shared" si="25"/>
        <v>5</v>
      </c>
      <c r="R39" s="18">
        <v>2000</v>
      </c>
      <c r="S39" s="19">
        <f t="shared" ref="S39" si="184">N39-O39-P39-Q39+R39</f>
        <v>14764.0725</v>
      </c>
      <c r="T39" s="18">
        <v>5000</v>
      </c>
      <c r="U39" s="19">
        <f t="shared" ref="U39" si="185">S39-T39</f>
        <v>9764.0725000000002</v>
      </c>
      <c r="V39" s="19">
        <f t="shared" si="27"/>
        <v>1582.1</v>
      </c>
      <c r="W39" s="19">
        <f t="shared" si="28"/>
        <v>465.9525000000001</v>
      </c>
      <c r="X39" s="19">
        <f t="shared" si="29"/>
        <v>300</v>
      </c>
      <c r="Y39" s="19">
        <f t="shared" si="30"/>
        <v>20</v>
      </c>
      <c r="Z39" s="19">
        <f t="shared" si="31"/>
        <v>18705.052499999998</v>
      </c>
      <c r="AA39" s="19">
        <f t="shared" si="17"/>
        <v>1496.4041999999999</v>
      </c>
      <c r="AB39" s="19">
        <f t="shared" si="32"/>
        <v>20201.456699999999</v>
      </c>
    </row>
    <row r="40" spans="1:28" s="26" customFormat="1" ht="13.5" thickBot="1" x14ac:dyDescent="0.25">
      <c r="A40" s="43" t="s">
        <v>20</v>
      </c>
      <c r="B40" s="44"/>
      <c r="C40" s="44"/>
      <c r="D40" s="44"/>
      <c r="E40" s="44"/>
      <c r="F40" s="44"/>
      <c r="G40" s="44"/>
      <c r="H40" s="45"/>
      <c r="I40" s="25">
        <f>SUM(I8:I39)+I3+I5+I6</f>
        <v>769</v>
      </c>
      <c r="J40" s="25">
        <f t="shared" ref="J40:AB40" si="186">SUM(J8:J39)+J3+J5+J6</f>
        <v>394217.33333333326</v>
      </c>
      <c r="K40" s="25">
        <f t="shared" si="186"/>
        <v>15245.416666666666</v>
      </c>
      <c r="L40" s="25">
        <f t="shared" si="186"/>
        <v>34110.25</v>
      </c>
      <c r="M40" s="25">
        <f t="shared" si="186"/>
        <v>32844.75</v>
      </c>
      <c r="N40" s="25">
        <f t="shared" si="186"/>
        <v>476417.75</v>
      </c>
      <c r="O40" s="25">
        <f t="shared" si="186"/>
        <v>47306.080000000016</v>
      </c>
      <c r="P40" s="25">
        <f t="shared" si="186"/>
        <v>3573.1331250000007</v>
      </c>
      <c r="Q40" s="25">
        <f t="shared" si="186"/>
        <v>170</v>
      </c>
      <c r="R40" s="25">
        <f t="shared" si="186"/>
        <v>42000</v>
      </c>
      <c r="S40" s="25">
        <f t="shared" si="186"/>
        <v>467368.53687499993</v>
      </c>
      <c r="T40" s="25">
        <f t="shared" si="186"/>
        <v>31000</v>
      </c>
      <c r="U40" s="25">
        <f t="shared" si="186"/>
        <v>436368.53687499993</v>
      </c>
      <c r="V40" s="25">
        <f t="shared" si="186"/>
        <v>51248.253333333319</v>
      </c>
      <c r="W40" s="25">
        <f t="shared" si="186"/>
        <v>15483.576874999997</v>
      </c>
      <c r="X40" s="25">
        <f t="shared" si="186"/>
        <v>9612.5</v>
      </c>
      <c r="Y40" s="25">
        <f t="shared" si="186"/>
        <v>680</v>
      </c>
      <c r="Z40" s="25">
        <f t="shared" si="186"/>
        <v>595442.08020833333</v>
      </c>
      <c r="AA40" s="25">
        <f t="shared" si="186"/>
        <v>47635.366416666664</v>
      </c>
      <c r="AB40" s="25">
        <f t="shared" si="186"/>
        <v>643077.44662499998</v>
      </c>
    </row>
  </sheetData>
  <sheetProtection formatCells="0" formatColumns="0" formatRows="0"/>
  <protectedRanges>
    <protectedRange algorithmName="SHA-512" hashValue="+qDVY5XTO6+owsk3UFSMGn9cfNbzIu7S4GYoBgQrs45Pl0p+jECK+vtAkhNra128GZpIx+xNVwaLjh3jPgxYYg==" saltValue="YmpVbY1zUuKfN+MQoprdjw==" spinCount="100000" sqref="J2:AB39" name="Range1"/>
  </protectedRanges>
  <autoFilter ref="A1:AB40" xr:uid="{DC9659DD-C113-4B29-9B09-BCC2F108159B}"/>
  <mergeCells count="4">
    <mergeCell ref="A40:H40"/>
    <mergeCell ref="A7:I7"/>
    <mergeCell ref="A4:I4"/>
    <mergeCell ref="A2:I2"/>
  </mergeCells>
  <hyperlinks>
    <hyperlink ref="O1" r:id="rId1" xr:uid="{74817408-98E7-415C-AD27-7F3BF18BA5BE}"/>
    <hyperlink ref="P1" r:id="rId2" xr:uid="{A7B6BA26-B928-4C4B-958E-0224B34159A4}"/>
    <hyperlink ref="V1" r:id="rId3" xr:uid="{DB928918-2113-4ED8-A888-8FEEA8755EA8}"/>
    <hyperlink ref="W1" r:id="rId4" xr:uid="{137B75DB-89DE-4865-AD82-85FDA1F681A0}"/>
  </hyperlinks>
  <pageMargins left="0.25" right="0.25" top="0.75" bottom="0.75" header="0.3" footer="0.3"/>
  <pageSetup scale="44" orientation="landscape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Herbalife-MUF-Punjab</vt:lpstr>
      <vt:lpstr>'Herbalife-MUF-Punjab'!Print_Area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Debasish Biswas</dc:creator>
  <cp:lastModifiedBy>Debasish Biswas</cp:lastModifiedBy>
  <cp:lastPrinted>2026-02-03T09:49:03Z</cp:lastPrinted>
  <dcterms:created xsi:type="dcterms:W3CDTF">2025-08-04T11:07:51Z</dcterms:created>
  <dcterms:modified xsi:type="dcterms:W3CDTF">2026-03-09T10:19:43Z</dcterms:modified>
</cp:coreProperties>
</file>